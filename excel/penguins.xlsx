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kyle\Documents\GitHub\a2-DataVis-5ways\excel\"/>
    </mc:Choice>
  </mc:AlternateContent>
  <xr:revisionPtr revIDLastSave="0" documentId="13_ncr:1_{34E642F0-E625-40AE-A8DE-ECE8C38C98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hart3" sheetId="9" r:id="rId1"/>
    <sheet name="penglings" sheetId="3" r:id="rId2"/>
  </sheets>
  <definedNames>
    <definedName name="ExternalData_1" localSheetId="1" hidden="1">penglings!$A$1:$I$345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N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F181B4-C3EA-4A33-94AC-6FE045E65C80}" keepAlive="1" name="Query - penglings" description="Connection to the 'penglings' query in the workbook." type="5" refreshedVersion="8" background="1" saveData="1">
    <dbPr connection="Provider=Microsoft.Mashup.OleDb.1;Data Source=$Workbook$;Location=penglings;Extended Properties=&quot;&quot;" command="SELECT * FROM [penglings]"/>
  </connection>
</connections>
</file>

<file path=xl/sharedStrings.xml><?xml version="1.0" encoding="utf-8"?>
<sst xmlns="http://schemas.openxmlformats.org/spreadsheetml/2006/main" count="1050" uniqueCount="19">
  <si>
    <t>Column1</t>
  </si>
  <si>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</si>
  <si>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</si>
  <si>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</si>
  <si>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</si>
  <si>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</si>
  <si>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</si>
  <si>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</si>
  <si>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</si>
  <si>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</si>
  <si>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</si>
  <si>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</si>
  <si>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</si>
  <si>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</si>
  <si>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</si>
  <si>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</si>
  <si>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</si>
  <si>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</si>
  <si>
    <t>calc_bill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</si>
</sst>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2" borderId="1" xfId="0" applyNumberFormat="1" applyFont="1" applyFill="1" applyBorder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Excel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Adelie</c:v>
          </c:tx>
          <c:spPr>
            <a:solidFill>
              <a:schemeClr val="accent2">
                <a:alpha val="80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penglings!$F$2:$F$153</c:f>
              <c:numCache>
                <c:formatCode>0.00</c:formatCode>
                <c:ptCount val="151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193</c:v>
                </c:pt>
                <c:pt idx="4">
                  <c:v>190</c:v>
                </c:pt>
                <c:pt idx="5">
                  <c:v>181</c:v>
                </c:pt>
                <c:pt idx="6">
                  <c:v>195</c:v>
                </c:pt>
                <c:pt idx="7">
                  <c:v>193</c:v>
                </c:pt>
                <c:pt idx="8">
                  <c:v>190</c:v>
                </c:pt>
                <c:pt idx="9">
                  <c:v>186</c:v>
                </c:pt>
                <c:pt idx="10">
                  <c:v>180</c:v>
                </c:pt>
                <c:pt idx="11">
                  <c:v>182</c:v>
                </c:pt>
                <c:pt idx="12">
                  <c:v>191</c:v>
                </c:pt>
                <c:pt idx="13">
                  <c:v>198</c:v>
                </c:pt>
                <c:pt idx="14">
                  <c:v>185</c:v>
                </c:pt>
                <c:pt idx="15">
                  <c:v>195</c:v>
                </c:pt>
                <c:pt idx="16">
                  <c:v>197</c:v>
                </c:pt>
                <c:pt idx="17">
                  <c:v>184</c:v>
                </c:pt>
                <c:pt idx="18">
                  <c:v>194</c:v>
                </c:pt>
                <c:pt idx="19">
                  <c:v>174</c:v>
                </c:pt>
                <c:pt idx="20">
                  <c:v>180</c:v>
                </c:pt>
                <c:pt idx="21">
                  <c:v>189</c:v>
                </c:pt>
                <c:pt idx="22">
                  <c:v>185</c:v>
                </c:pt>
                <c:pt idx="23">
                  <c:v>180</c:v>
                </c:pt>
                <c:pt idx="24">
                  <c:v>187</c:v>
                </c:pt>
                <c:pt idx="25">
                  <c:v>183</c:v>
                </c:pt>
                <c:pt idx="26">
                  <c:v>187</c:v>
                </c:pt>
                <c:pt idx="27">
                  <c:v>172</c:v>
                </c:pt>
                <c:pt idx="28">
                  <c:v>180</c:v>
                </c:pt>
                <c:pt idx="29">
                  <c:v>178</c:v>
                </c:pt>
                <c:pt idx="30">
                  <c:v>178</c:v>
                </c:pt>
                <c:pt idx="31">
                  <c:v>188</c:v>
                </c:pt>
                <c:pt idx="32">
                  <c:v>184</c:v>
                </c:pt>
                <c:pt idx="33">
                  <c:v>195</c:v>
                </c:pt>
                <c:pt idx="34">
                  <c:v>196</c:v>
                </c:pt>
                <c:pt idx="35">
                  <c:v>190</c:v>
                </c:pt>
                <c:pt idx="36">
                  <c:v>180</c:v>
                </c:pt>
                <c:pt idx="37">
                  <c:v>181</c:v>
                </c:pt>
                <c:pt idx="38">
                  <c:v>184</c:v>
                </c:pt>
                <c:pt idx="39">
                  <c:v>182</c:v>
                </c:pt>
                <c:pt idx="40">
                  <c:v>195</c:v>
                </c:pt>
                <c:pt idx="41">
                  <c:v>186</c:v>
                </c:pt>
                <c:pt idx="42">
                  <c:v>196</c:v>
                </c:pt>
                <c:pt idx="43">
                  <c:v>185</c:v>
                </c:pt>
                <c:pt idx="44">
                  <c:v>190</c:v>
                </c:pt>
                <c:pt idx="45">
                  <c:v>182</c:v>
                </c:pt>
                <c:pt idx="46">
                  <c:v>179</c:v>
                </c:pt>
                <c:pt idx="47">
                  <c:v>190</c:v>
                </c:pt>
                <c:pt idx="48">
                  <c:v>191</c:v>
                </c:pt>
                <c:pt idx="49">
                  <c:v>186</c:v>
                </c:pt>
                <c:pt idx="50">
                  <c:v>188</c:v>
                </c:pt>
                <c:pt idx="51">
                  <c:v>190</c:v>
                </c:pt>
                <c:pt idx="52">
                  <c:v>200</c:v>
                </c:pt>
                <c:pt idx="53">
                  <c:v>187</c:v>
                </c:pt>
                <c:pt idx="54">
                  <c:v>191</c:v>
                </c:pt>
                <c:pt idx="55">
                  <c:v>186</c:v>
                </c:pt>
                <c:pt idx="56">
                  <c:v>193</c:v>
                </c:pt>
                <c:pt idx="57">
                  <c:v>181</c:v>
                </c:pt>
                <c:pt idx="58">
                  <c:v>194</c:v>
                </c:pt>
                <c:pt idx="59">
                  <c:v>185</c:v>
                </c:pt>
                <c:pt idx="60">
                  <c:v>195</c:v>
                </c:pt>
                <c:pt idx="61">
                  <c:v>185</c:v>
                </c:pt>
                <c:pt idx="62">
                  <c:v>192</c:v>
                </c:pt>
                <c:pt idx="63">
                  <c:v>184</c:v>
                </c:pt>
                <c:pt idx="64">
                  <c:v>192</c:v>
                </c:pt>
                <c:pt idx="65">
                  <c:v>195</c:v>
                </c:pt>
                <c:pt idx="66">
                  <c:v>188</c:v>
                </c:pt>
                <c:pt idx="67">
                  <c:v>190</c:v>
                </c:pt>
                <c:pt idx="68">
                  <c:v>198</c:v>
                </c:pt>
                <c:pt idx="69">
                  <c:v>190</c:v>
                </c:pt>
                <c:pt idx="70">
                  <c:v>190</c:v>
                </c:pt>
                <c:pt idx="71">
                  <c:v>196</c:v>
                </c:pt>
                <c:pt idx="72">
                  <c:v>197</c:v>
                </c:pt>
                <c:pt idx="73">
                  <c:v>190</c:v>
                </c:pt>
                <c:pt idx="74">
                  <c:v>195</c:v>
                </c:pt>
                <c:pt idx="75">
                  <c:v>191</c:v>
                </c:pt>
                <c:pt idx="76">
                  <c:v>184</c:v>
                </c:pt>
                <c:pt idx="77">
                  <c:v>187</c:v>
                </c:pt>
                <c:pt idx="78">
                  <c:v>195</c:v>
                </c:pt>
                <c:pt idx="79">
                  <c:v>189</c:v>
                </c:pt>
                <c:pt idx="80">
                  <c:v>196</c:v>
                </c:pt>
                <c:pt idx="81">
                  <c:v>187</c:v>
                </c:pt>
                <c:pt idx="82">
                  <c:v>193</c:v>
                </c:pt>
                <c:pt idx="83">
                  <c:v>191</c:v>
                </c:pt>
                <c:pt idx="84">
                  <c:v>194</c:v>
                </c:pt>
                <c:pt idx="85">
                  <c:v>190</c:v>
                </c:pt>
                <c:pt idx="86">
                  <c:v>189</c:v>
                </c:pt>
                <c:pt idx="87">
                  <c:v>189</c:v>
                </c:pt>
                <c:pt idx="88">
                  <c:v>190</c:v>
                </c:pt>
                <c:pt idx="89">
                  <c:v>202</c:v>
                </c:pt>
                <c:pt idx="90">
                  <c:v>205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208</c:v>
                </c:pt>
                <c:pt idx="95">
                  <c:v>190</c:v>
                </c:pt>
                <c:pt idx="96">
                  <c:v>196</c:v>
                </c:pt>
                <c:pt idx="97">
                  <c:v>178</c:v>
                </c:pt>
                <c:pt idx="98">
                  <c:v>192</c:v>
                </c:pt>
                <c:pt idx="99">
                  <c:v>192</c:v>
                </c:pt>
                <c:pt idx="100">
                  <c:v>203</c:v>
                </c:pt>
                <c:pt idx="101">
                  <c:v>183</c:v>
                </c:pt>
                <c:pt idx="102">
                  <c:v>190</c:v>
                </c:pt>
                <c:pt idx="103">
                  <c:v>193</c:v>
                </c:pt>
                <c:pt idx="104">
                  <c:v>184</c:v>
                </c:pt>
                <c:pt idx="105">
                  <c:v>199</c:v>
                </c:pt>
                <c:pt idx="106">
                  <c:v>190</c:v>
                </c:pt>
                <c:pt idx="107">
                  <c:v>181</c:v>
                </c:pt>
                <c:pt idx="108">
                  <c:v>197</c:v>
                </c:pt>
                <c:pt idx="109">
                  <c:v>198</c:v>
                </c:pt>
                <c:pt idx="110">
                  <c:v>191</c:v>
                </c:pt>
                <c:pt idx="111">
                  <c:v>193</c:v>
                </c:pt>
                <c:pt idx="112">
                  <c:v>197</c:v>
                </c:pt>
                <c:pt idx="113">
                  <c:v>191</c:v>
                </c:pt>
                <c:pt idx="114">
                  <c:v>196</c:v>
                </c:pt>
                <c:pt idx="115">
                  <c:v>188</c:v>
                </c:pt>
                <c:pt idx="116">
                  <c:v>199</c:v>
                </c:pt>
                <c:pt idx="117">
                  <c:v>189</c:v>
                </c:pt>
                <c:pt idx="118">
                  <c:v>189</c:v>
                </c:pt>
                <c:pt idx="119">
                  <c:v>187</c:v>
                </c:pt>
                <c:pt idx="120">
                  <c:v>198</c:v>
                </c:pt>
                <c:pt idx="121">
                  <c:v>176</c:v>
                </c:pt>
                <c:pt idx="122">
                  <c:v>202</c:v>
                </c:pt>
                <c:pt idx="123">
                  <c:v>186</c:v>
                </c:pt>
                <c:pt idx="124">
                  <c:v>199</c:v>
                </c:pt>
                <c:pt idx="125">
                  <c:v>191</c:v>
                </c:pt>
                <c:pt idx="126">
                  <c:v>195</c:v>
                </c:pt>
                <c:pt idx="127">
                  <c:v>191</c:v>
                </c:pt>
                <c:pt idx="128">
                  <c:v>210</c:v>
                </c:pt>
                <c:pt idx="129">
                  <c:v>190</c:v>
                </c:pt>
                <c:pt idx="130">
                  <c:v>197</c:v>
                </c:pt>
                <c:pt idx="131">
                  <c:v>193</c:v>
                </c:pt>
                <c:pt idx="132">
                  <c:v>199</c:v>
                </c:pt>
                <c:pt idx="133">
                  <c:v>187</c:v>
                </c:pt>
                <c:pt idx="134">
                  <c:v>190</c:v>
                </c:pt>
                <c:pt idx="135">
                  <c:v>191</c:v>
                </c:pt>
                <c:pt idx="136">
                  <c:v>200</c:v>
                </c:pt>
                <c:pt idx="137">
                  <c:v>185</c:v>
                </c:pt>
                <c:pt idx="138">
                  <c:v>193</c:v>
                </c:pt>
                <c:pt idx="139">
                  <c:v>193</c:v>
                </c:pt>
                <c:pt idx="140">
                  <c:v>187</c:v>
                </c:pt>
                <c:pt idx="141">
                  <c:v>188</c:v>
                </c:pt>
                <c:pt idx="142">
                  <c:v>190</c:v>
                </c:pt>
                <c:pt idx="143">
                  <c:v>192</c:v>
                </c:pt>
                <c:pt idx="144">
                  <c:v>185</c:v>
                </c:pt>
                <c:pt idx="145">
                  <c:v>190</c:v>
                </c:pt>
                <c:pt idx="146">
                  <c:v>184</c:v>
                </c:pt>
                <c:pt idx="147">
                  <c:v>195</c:v>
                </c:pt>
                <c:pt idx="148">
                  <c:v>193</c:v>
                </c:pt>
                <c:pt idx="149">
                  <c:v>187</c:v>
                </c:pt>
                <c:pt idx="150">
                  <c:v>201</c:v>
                </c:pt>
              </c:numCache>
            </c:numRef>
          </c:xVal>
          <c:yVal>
            <c:numRef>
              <c:f>penglings!$G$2:$G$153</c:f>
              <c:numCache>
                <c:formatCode>0.00</c:formatCode>
                <c:ptCount val="151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3450</c:v>
                </c:pt>
                <c:pt idx="4">
                  <c:v>3650</c:v>
                </c:pt>
                <c:pt idx="5">
                  <c:v>3625</c:v>
                </c:pt>
                <c:pt idx="6">
                  <c:v>4675</c:v>
                </c:pt>
                <c:pt idx="7">
                  <c:v>3475</c:v>
                </c:pt>
                <c:pt idx="8">
                  <c:v>4250</c:v>
                </c:pt>
                <c:pt idx="9">
                  <c:v>3300</c:v>
                </c:pt>
                <c:pt idx="10">
                  <c:v>3700</c:v>
                </c:pt>
                <c:pt idx="11">
                  <c:v>3200</c:v>
                </c:pt>
                <c:pt idx="12">
                  <c:v>3800</c:v>
                </c:pt>
                <c:pt idx="13">
                  <c:v>4400</c:v>
                </c:pt>
                <c:pt idx="14">
                  <c:v>3700</c:v>
                </c:pt>
                <c:pt idx="15">
                  <c:v>3450</c:v>
                </c:pt>
                <c:pt idx="16">
                  <c:v>4500</c:v>
                </c:pt>
                <c:pt idx="17">
                  <c:v>3325</c:v>
                </c:pt>
                <c:pt idx="18">
                  <c:v>4200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3950</c:v>
                </c:pt>
                <c:pt idx="23">
                  <c:v>3800</c:v>
                </c:pt>
                <c:pt idx="24">
                  <c:v>3800</c:v>
                </c:pt>
                <c:pt idx="25">
                  <c:v>3550</c:v>
                </c:pt>
                <c:pt idx="26">
                  <c:v>3200</c:v>
                </c:pt>
                <c:pt idx="27">
                  <c:v>3150</c:v>
                </c:pt>
                <c:pt idx="28">
                  <c:v>3950</c:v>
                </c:pt>
                <c:pt idx="29">
                  <c:v>3250</c:v>
                </c:pt>
                <c:pt idx="30">
                  <c:v>3900</c:v>
                </c:pt>
                <c:pt idx="31">
                  <c:v>3300</c:v>
                </c:pt>
                <c:pt idx="32">
                  <c:v>3900</c:v>
                </c:pt>
                <c:pt idx="33">
                  <c:v>3325</c:v>
                </c:pt>
                <c:pt idx="34">
                  <c:v>4150</c:v>
                </c:pt>
                <c:pt idx="35">
                  <c:v>3950</c:v>
                </c:pt>
                <c:pt idx="36">
                  <c:v>3550</c:v>
                </c:pt>
                <c:pt idx="37">
                  <c:v>3300</c:v>
                </c:pt>
                <c:pt idx="38">
                  <c:v>4650</c:v>
                </c:pt>
                <c:pt idx="39">
                  <c:v>3150</c:v>
                </c:pt>
                <c:pt idx="40">
                  <c:v>3900</c:v>
                </c:pt>
                <c:pt idx="41">
                  <c:v>3100</c:v>
                </c:pt>
                <c:pt idx="42">
                  <c:v>4400</c:v>
                </c:pt>
                <c:pt idx="43">
                  <c:v>3000</c:v>
                </c:pt>
                <c:pt idx="44">
                  <c:v>4600</c:v>
                </c:pt>
                <c:pt idx="45">
                  <c:v>3425</c:v>
                </c:pt>
                <c:pt idx="46">
                  <c:v>2975</c:v>
                </c:pt>
                <c:pt idx="47">
                  <c:v>3450</c:v>
                </c:pt>
                <c:pt idx="48">
                  <c:v>4150</c:v>
                </c:pt>
                <c:pt idx="49">
                  <c:v>3500</c:v>
                </c:pt>
                <c:pt idx="50">
                  <c:v>4300</c:v>
                </c:pt>
                <c:pt idx="51">
                  <c:v>3450</c:v>
                </c:pt>
                <c:pt idx="52">
                  <c:v>4050</c:v>
                </c:pt>
                <c:pt idx="53">
                  <c:v>2900</c:v>
                </c:pt>
                <c:pt idx="54">
                  <c:v>3700</c:v>
                </c:pt>
                <c:pt idx="55">
                  <c:v>3550</c:v>
                </c:pt>
                <c:pt idx="56">
                  <c:v>3800</c:v>
                </c:pt>
                <c:pt idx="57">
                  <c:v>2850</c:v>
                </c:pt>
                <c:pt idx="58">
                  <c:v>3750</c:v>
                </c:pt>
                <c:pt idx="59">
                  <c:v>3150</c:v>
                </c:pt>
                <c:pt idx="60">
                  <c:v>4400</c:v>
                </c:pt>
                <c:pt idx="61">
                  <c:v>3600</c:v>
                </c:pt>
                <c:pt idx="62">
                  <c:v>4050</c:v>
                </c:pt>
                <c:pt idx="63">
                  <c:v>2850</c:v>
                </c:pt>
                <c:pt idx="64">
                  <c:v>3950</c:v>
                </c:pt>
                <c:pt idx="65">
                  <c:v>3350</c:v>
                </c:pt>
                <c:pt idx="66">
                  <c:v>4100</c:v>
                </c:pt>
                <c:pt idx="67">
                  <c:v>3050</c:v>
                </c:pt>
                <c:pt idx="68">
                  <c:v>4450</c:v>
                </c:pt>
                <c:pt idx="69">
                  <c:v>3600</c:v>
                </c:pt>
                <c:pt idx="70">
                  <c:v>3900</c:v>
                </c:pt>
                <c:pt idx="71">
                  <c:v>3550</c:v>
                </c:pt>
                <c:pt idx="72">
                  <c:v>4150</c:v>
                </c:pt>
                <c:pt idx="73">
                  <c:v>3700</c:v>
                </c:pt>
                <c:pt idx="74">
                  <c:v>4250</c:v>
                </c:pt>
                <c:pt idx="75">
                  <c:v>3700</c:v>
                </c:pt>
                <c:pt idx="76">
                  <c:v>3900</c:v>
                </c:pt>
                <c:pt idx="77">
                  <c:v>3550</c:v>
                </c:pt>
                <c:pt idx="78">
                  <c:v>4000</c:v>
                </c:pt>
                <c:pt idx="79">
                  <c:v>3200</c:v>
                </c:pt>
                <c:pt idx="80">
                  <c:v>4700</c:v>
                </c:pt>
                <c:pt idx="81">
                  <c:v>3800</c:v>
                </c:pt>
                <c:pt idx="82">
                  <c:v>4200</c:v>
                </c:pt>
                <c:pt idx="83">
                  <c:v>3350</c:v>
                </c:pt>
                <c:pt idx="84">
                  <c:v>3550</c:v>
                </c:pt>
                <c:pt idx="85">
                  <c:v>3800</c:v>
                </c:pt>
                <c:pt idx="86">
                  <c:v>3500</c:v>
                </c:pt>
                <c:pt idx="87">
                  <c:v>3950</c:v>
                </c:pt>
                <c:pt idx="88">
                  <c:v>3600</c:v>
                </c:pt>
                <c:pt idx="89">
                  <c:v>3550</c:v>
                </c:pt>
                <c:pt idx="90">
                  <c:v>4300</c:v>
                </c:pt>
                <c:pt idx="91">
                  <c:v>3400</c:v>
                </c:pt>
                <c:pt idx="92">
                  <c:v>4450</c:v>
                </c:pt>
                <c:pt idx="93">
                  <c:v>3300</c:v>
                </c:pt>
                <c:pt idx="94">
                  <c:v>4300</c:v>
                </c:pt>
                <c:pt idx="95">
                  <c:v>3700</c:v>
                </c:pt>
                <c:pt idx="96">
                  <c:v>4350</c:v>
                </c:pt>
                <c:pt idx="97">
                  <c:v>2900</c:v>
                </c:pt>
                <c:pt idx="98">
                  <c:v>4100</c:v>
                </c:pt>
                <c:pt idx="99">
                  <c:v>3725</c:v>
                </c:pt>
                <c:pt idx="100">
                  <c:v>4725</c:v>
                </c:pt>
                <c:pt idx="101">
                  <c:v>3075</c:v>
                </c:pt>
                <c:pt idx="102">
                  <c:v>4250</c:v>
                </c:pt>
                <c:pt idx="103">
                  <c:v>2925</c:v>
                </c:pt>
                <c:pt idx="104">
                  <c:v>3550</c:v>
                </c:pt>
                <c:pt idx="105">
                  <c:v>3750</c:v>
                </c:pt>
                <c:pt idx="106">
                  <c:v>3900</c:v>
                </c:pt>
                <c:pt idx="107">
                  <c:v>3175</c:v>
                </c:pt>
                <c:pt idx="108">
                  <c:v>4775</c:v>
                </c:pt>
                <c:pt idx="109">
                  <c:v>3825</c:v>
                </c:pt>
                <c:pt idx="110">
                  <c:v>4600</c:v>
                </c:pt>
                <c:pt idx="111">
                  <c:v>3200</c:v>
                </c:pt>
                <c:pt idx="112">
                  <c:v>4275</c:v>
                </c:pt>
                <c:pt idx="113">
                  <c:v>3900</c:v>
                </c:pt>
                <c:pt idx="114">
                  <c:v>4075</c:v>
                </c:pt>
                <c:pt idx="115">
                  <c:v>2900</c:v>
                </c:pt>
                <c:pt idx="116">
                  <c:v>3775</c:v>
                </c:pt>
                <c:pt idx="117">
                  <c:v>3350</c:v>
                </c:pt>
                <c:pt idx="118">
                  <c:v>3325</c:v>
                </c:pt>
                <c:pt idx="119">
                  <c:v>3150</c:v>
                </c:pt>
                <c:pt idx="120">
                  <c:v>3500</c:v>
                </c:pt>
                <c:pt idx="121">
                  <c:v>3450</c:v>
                </c:pt>
                <c:pt idx="122">
                  <c:v>3875</c:v>
                </c:pt>
                <c:pt idx="123">
                  <c:v>3050</c:v>
                </c:pt>
                <c:pt idx="124">
                  <c:v>4000</c:v>
                </c:pt>
                <c:pt idx="125">
                  <c:v>3275</c:v>
                </c:pt>
                <c:pt idx="126">
                  <c:v>4300</c:v>
                </c:pt>
                <c:pt idx="127">
                  <c:v>3050</c:v>
                </c:pt>
                <c:pt idx="128">
                  <c:v>4000</c:v>
                </c:pt>
                <c:pt idx="129">
                  <c:v>3325</c:v>
                </c:pt>
                <c:pt idx="130">
                  <c:v>3500</c:v>
                </c:pt>
                <c:pt idx="131">
                  <c:v>3500</c:v>
                </c:pt>
                <c:pt idx="132">
                  <c:v>4475</c:v>
                </c:pt>
                <c:pt idx="133">
                  <c:v>3425</c:v>
                </c:pt>
                <c:pt idx="134">
                  <c:v>3900</c:v>
                </c:pt>
                <c:pt idx="135">
                  <c:v>3175</c:v>
                </c:pt>
                <c:pt idx="136">
                  <c:v>3975</c:v>
                </c:pt>
                <c:pt idx="137">
                  <c:v>3400</c:v>
                </c:pt>
                <c:pt idx="138">
                  <c:v>4250</c:v>
                </c:pt>
                <c:pt idx="139">
                  <c:v>3400</c:v>
                </c:pt>
                <c:pt idx="140">
                  <c:v>3475</c:v>
                </c:pt>
                <c:pt idx="141">
                  <c:v>3050</c:v>
                </c:pt>
                <c:pt idx="142">
                  <c:v>3725</c:v>
                </c:pt>
                <c:pt idx="143">
                  <c:v>3000</c:v>
                </c:pt>
                <c:pt idx="144">
                  <c:v>3650</c:v>
                </c:pt>
                <c:pt idx="145">
                  <c:v>4250</c:v>
                </c:pt>
                <c:pt idx="146">
                  <c:v>3475</c:v>
                </c:pt>
                <c:pt idx="147">
                  <c:v>3450</c:v>
                </c:pt>
                <c:pt idx="148">
                  <c:v>3750</c:v>
                </c:pt>
                <c:pt idx="149">
                  <c:v>3700</c:v>
                </c:pt>
                <c:pt idx="150">
                  <c:v>4000</c:v>
                </c:pt>
              </c:numCache>
            </c:numRef>
          </c:yVal>
          <c:bubbleSize>
            <c:numRef>
              <c:f>penglings!$D$2:$D$153</c:f>
              <c:numCache>
                <c:formatCode>0.00</c:formatCode>
                <c:ptCount val="151"/>
                <c:pt idx="0">
                  <c:v>39.1</c:v>
                </c:pt>
                <c:pt idx="1">
                  <c:v>39.5</c:v>
                </c:pt>
                <c:pt idx="2">
                  <c:v>40.299999999999997</c:v>
                </c:pt>
                <c:pt idx="3">
                  <c:v>36.700000000000003</c:v>
                </c:pt>
                <c:pt idx="4">
                  <c:v>39.299999999999997</c:v>
                </c:pt>
                <c:pt idx="5">
                  <c:v>38.9</c:v>
                </c:pt>
                <c:pt idx="6">
                  <c:v>39.200000000000003</c:v>
                </c:pt>
                <c:pt idx="7">
                  <c:v>34.1</c:v>
                </c:pt>
                <c:pt idx="8">
                  <c:v>42</c:v>
                </c:pt>
                <c:pt idx="9">
                  <c:v>37.799999999999997</c:v>
                </c:pt>
                <c:pt idx="10">
                  <c:v>37.799999999999997</c:v>
                </c:pt>
                <c:pt idx="11">
                  <c:v>41.1</c:v>
                </c:pt>
                <c:pt idx="12">
                  <c:v>38.6</c:v>
                </c:pt>
                <c:pt idx="13">
                  <c:v>34.6</c:v>
                </c:pt>
                <c:pt idx="14">
                  <c:v>36.6</c:v>
                </c:pt>
                <c:pt idx="15">
                  <c:v>38.700000000000003</c:v>
                </c:pt>
                <c:pt idx="16">
                  <c:v>42.5</c:v>
                </c:pt>
                <c:pt idx="17">
                  <c:v>34.4</c:v>
                </c:pt>
                <c:pt idx="18">
                  <c:v>46</c:v>
                </c:pt>
                <c:pt idx="19">
                  <c:v>37.799999999999997</c:v>
                </c:pt>
                <c:pt idx="20">
                  <c:v>37.700000000000003</c:v>
                </c:pt>
                <c:pt idx="21">
                  <c:v>35.9</c:v>
                </c:pt>
                <c:pt idx="22">
                  <c:v>38.200000000000003</c:v>
                </c:pt>
                <c:pt idx="23">
                  <c:v>38.799999999999997</c:v>
                </c:pt>
                <c:pt idx="24">
                  <c:v>35.299999999999997</c:v>
                </c:pt>
                <c:pt idx="25">
                  <c:v>40.6</c:v>
                </c:pt>
                <c:pt idx="26">
                  <c:v>40.5</c:v>
                </c:pt>
                <c:pt idx="27">
                  <c:v>37.9</c:v>
                </c:pt>
                <c:pt idx="28">
                  <c:v>40.5</c:v>
                </c:pt>
                <c:pt idx="29">
                  <c:v>39.5</c:v>
                </c:pt>
                <c:pt idx="30">
                  <c:v>37.200000000000003</c:v>
                </c:pt>
                <c:pt idx="31">
                  <c:v>39.5</c:v>
                </c:pt>
                <c:pt idx="32">
                  <c:v>40.9</c:v>
                </c:pt>
                <c:pt idx="33">
                  <c:v>36.4</c:v>
                </c:pt>
                <c:pt idx="34">
                  <c:v>39.200000000000003</c:v>
                </c:pt>
                <c:pt idx="35">
                  <c:v>38.799999999999997</c:v>
                </c:pt>
                <c:pt idx="36">
                  <c:v>42.2</c:v>
                </c:pt>
                <c:pt idx="37">
                  <c:v>37.6</c:v>
                </c:pt>
                <c:pt idx="38">
                  <c:v>39.799999999999997</c:v>
                </c:pt>
                <c:pt idx="39">
                  <c:v>36.5</c:v>
                </c:pt>
                <c:pt idx="40">
                  <c:v>40.799999999999997</c:v>
                </c:pt>
                <c:pt idx="41">
                  <c:v>36</c:v>
                </c:pt>
                <c:pt idx="42">
                  <c:v>44.1</c:v>
                </c:pt>
                <c:pt idx="43">
                  <c:v>37</c:v>
                </c:pt>
                <c:pt idx="44">
                  <c:v>39.6</c:v>
                </c:pt>
                <c:pt idx="45">
                  <c:v>41.1</c:v>
                </c:pt>
                <c:pt idx="46">
                  <c:v>37.5</c:v>
                </c:pt>
                <c:pt idx="47">
                  <c:v>36</c:v>
                </c:pt>
                <c:pt idx="48">
                  <c:v>42.3</c:v>
                </c:pt>
                <c:pt idx="49">
                  <c:v>39.6</c:v>
                </c:pt>
                <c:pt idx="50">
                  <c:v>40.1</c:v>
                </c:pt>
                <c:pt idx="51">
                  <c:v>35</c:v>
                </c:pt>
                <c:pt idx="52">
                  <c:v>42</c:v>
                </c:pt>
                <c:pt idx="53">
                  <c:v>34.5</c:v>
                </c:pt>
                <c:pt idx="54">
                  <c:v>41.4</c:v>
                </c:pt>
                <c:pt idx="55">
                  <c:v>39</c:v>
                </c:pt>
                <c:pt idx="56">
                  <c:v>40.6</c:v>
                </c:pt>
                <c:pt idx="57">
                  <c:v>36.5</c:v>
                </c:pt>
                <c:pt idx="58">
                  <c:v>37.6</c:v>
                </c:pt>
                <c:pt idx="59">
                  <c:v>35.700000000000003</c:v>
                </c:pt>
                <c:pt idx="60">
                  <c:v>41.3</c:v>
                </c:pt>
                <c:pt idx="61">
                  <c:v>37.6</c:v>
                </c:pt>
                <c:pt idx="62">
                  <c:v>41.1</c:v>
                </c:pt>
                <c:pt idx="63">
                  <c:v>36.4</c:v>
                </c:pt>
                <c:pt idx="64">
                  <c:v>41.6</c:v>
                </c:pt>
                <c:pt idx="65">
                  <c:v>35.5</c:v>
                </c:pt>
                <c:pt idx="66">
                  <c:v>41.1</c:v>
                </c:pt>
                <c:pt idx="67">
                  <c:v>35.9</c:v>
                </c:pt>
                <c:pt idx="68">
                  <c:v>41.8</c:v>
                </c:pt>
                <c:pt idx="69">
                  <c:v>33.5</c:v>
                </c:pt>
                <c:pt idx="70">
                  <c:v>39.700000000000003</c:v>
                </c:pt>
                <c:pt idx="71">
                  <c:v>39.6</c:v>
                </c:pt>
                <c:pt idx="72">
                  <c:v>45.8</c:v>
                </c:pt>
                <c:pt idx="73">
                  <c:v>35.5</c:v>
                </c:pt>
                <c:pt idx="74">
                  <c:v>42.8</c:v>
                </c:pt>
                <c:pt idx="75">
                  <c:v>40.9</c:v>
                </c:pt>
                <c:pt idx="76">
                  <c:v>37.200000000000003</c:v>
                </c:pt>
                <c:pt idx="77">
                  <c:v>36.200000000000003</c:v>
                </c:pt>
                <c:pt idx="78">
                  <c:v>42.1</c:v>
                </c:pt>
                <c:pt idx="79">
                  <c:v>34.6</c:v>
                </c:pt>
                <c:pt idx="80">
                  <c:v>42.9</c:v>
                </c:pt>
                <c:pt idx="81">
                  <c:v>36.700000000000003</c:v>
                </c:pt>
                <c:pt idx="82">
                  <c:v>35.1</c:v>
                </c:pt>
                <c:pt idx="83">
                  <c:v>37.299999999999997</c:v>
                </c:pt>
                <c:pt idx="84">
                  <c:v>41.3</c:v>
                </c:pt>
                <c:pt idx="85">
                  <c:v>36.299999999999997</c:v>
                </c:pt>
                <c:pt idx="86">
                  <c:v>36.9</c:v>
                </c:pt>
                <c:pt idx="87">
                  <c:v>38.299999999999997</c:v>
                </c:pt>
                <c:pt idx="88">
                  <c:v>38.9</c:v>
                </c:pt>
                <c:pt idx="89">
                  <c:v>35.700000000000003</c:v>
                </c:pt>
                <c:pt idx="90">
                  <c:v>41.1</c:v>
                </c:pt>
                <c:pt idx="91">
                  <c:v>34</c:v>
                </c:pt>
                <c:pt idx="92">
                  <c:v>39.6</c:v>
                </c:pt>
                <c:pt idx="93">
                  <c:v>36.200000000000003</c:v>
                </c:pt>
                <c:pt idx="94">
                  <c:v>40.799999999999997</c:v>
                </c:pt>
                <c:pt idx="95">
                  <c:v>38.1</c:v>
                </c:pt>
                <c:pt idx="96">
                  <c:v>40.299999999999997</c:v>
                </c:pt>
                <c:pt idx="97">
                  <c:v>33.1</c:v>
                </c:pt>
                <c:pt idx="98">
                  <c:v>43.2</c:v>
                </c:pt>
                <c:pt idx="99">
                  <c:v>35</c:v>
                </c:pt>
                <c:pt idx="100">
                  <c:v>41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37.9</c:v>
                </c:pt>
                <c:pt idx="104">
                  <c:v>39.700000000000003</c:v>
                </c:pt>
                <c:pt idx="105">
                  <c:v>38.6</c:v>
                </c:pt>
                <c:pt idx="106">
                  <c:v>38.200000000000003</c:v>
                </c:pt>
                <c:pt idx="107">
                  <c:v>38.1</c:v>
                </c:pt>
                <c:pt idx="108">
                  <c:v>43.2</c:v>
                </c:pt>
                <c:pt idx="109">
                  <c:v>38.1</c:v>
                </c:pt>
                <c:pt idx="110">
                  <c:v>45.6</c:v>
                </c:pt>
                <c:pt idx="111">
                  <c:v>39.700000000000003</c:v>
                </c:pt>
                <c:pt idx="112">
                  <c:v>42.2</c:v>
                </c:pt>
                <c:pt idx="113">
                  <c:v>39.6</c:v>
                </c:pt>
                <c:pt idx="114">
                  <c:v>42.7</c:v>
                </c:pt>
                <c:pt idx="115">
                  <c:v>38.6</c:v>
                </c:pt>
                <c:pt idx="116">
                  <c:v>37.299999999999997</c:v>
                </c:pt>
                <c:pt idx="117">
                  <c:v>35.700000000000003</c:v>
                </c:pt>
                <c:pt idx="118">
                  <c:v>41.1</c:v>
                </c:pt>
                <c:pt idx="119">
                  <c:v>36.200000000000003</c:v>
                </c:pt>
                <c:pt idx="120">
                  <c:v>37.700000000000003</c:v>
                </c:pt>
                <c:pt idx="121">
                  <c:v>40.200000000000003</c:v>
                </c:pt>
                <c:pt idx="122">
                  <c:v>41.4</c:v>
                </c:pt>
                <c:pt idx="123">
                  <c:v>35.200000000000003</c:v>
                </c:pt>
                <c:pt idx="124">
                  <c:v>40.6</c:v>
                </c:pt>
                <c:pt idx="125">
                  <c:v>38.799999999999997</c:v>
                </c:pt>
                <c:pt idx="126">
                  <c:v>41.5</c:v>
                </c:pt>
                <c:pt idx="127">
                  <c:v>39</c:v>
                </c:pt>
                <c:pt idx="128">
                  <c:v>44.1</c:v>
                </c:pt>
                <c:pt idx="129">
                  <c:v>38.5</c:v>
                </c:pt>
                <c:pt idx="130">
                  <c:v>43.1</c:v>
                </c:pt>
                <c:pt idx="131">
                  <c:v>36.799999999999997</c:v>
                </c:pt>
                <c:pt idx="132">
                  <c:v>37.5</c:v>
                </c:pt>
                <c:pt idx="133">
                  <c:v>38.1</c:v>
                </c:pt>
                <c:pt idx="134">
                  <c:v>41.1</c:v>
                </c:pt>
                <c:pt idx="135">
                  <c:v>35.6</c:v>
                </c:pt>
                <c:pt idx="136">
                  <c:v>40.200000000000003</c:v>
                </c:pt>
                <c:pt idx="137">
                  <c:v>37</c:v>
                </c:pt>
                <c:pt idx="138">
                  <c:v>39.700000000000003</c:v>
                </c:pt>
                <c:pt idx="139">
                  <c:v>40.200000000000003</c:v>
                </c:pt>
                <c:pt idx="140">
                  <c:v>40.6</c:v>
                </c:pt>
                <c:pt idx="141">
                  <c:v>32.1</c:v>
                </c:pt>
                <c:pt idx="142">
                  <c:v>40.700000000000003</c:v>
                </c:pt>
                <c:pt idx="143">
                  <c:v>37.299999999999997</c:v>
                </c:pt>
                <c:pt idx="144">
                  <c:v>39</c:v>
                </c:pt>
                <c:pt idx="145">
                  <c:v>39.200000000000003</c:v>
                </c:pt>
                <c:pt idx="146">
                  <c:v>36.6</c:v>
                </c:pt>
                <c:pt idx="147">
                  <c:v>36</c:v>
                </c:pt>
                <c:pt idx="148">
                  <c:v>37.799999999999997</c:v>
                </c:pt>
                <c:pt idx="149">
                  <c:v>36</c:v>
                </c:pt>
                <c:pt idx="150">
                  <c:v>41.5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C12B-4814-A30F-1E1A8FB6C138}"/>
            </c:ext>
          </c:extLst>
        </c:ser>
        <c:ser>
          <c:idx val="1"/>
          <c:order val="1"/>
          <c:tx>
            <c:v>Chinstrap</c:v>
          </c:tx>
          <c:spPr>
            <a:solidFill>
              <a:srgbClr val="7030A0">
                <a:alpha val="80000"/>
              </a:srgbClr>
            </a:solidFill>
            <a:ln w="25400">
              <a:noFill/>
            </a:ln>
            <a:effectLst/>
          </c:spPr>
          <c:invertIfNegative val="0"/>
          <c:xVal>
            <c:numRef>
              <c:f>penglings!$F$278:$F$345</c:f>
              <c:numCache>
                <c:formatCode>0.00</c:formatCode>
                <c:ptCount val="68"/>
                <c:pt idx="0">
                  <c:v>192</c:v>
                </c:pt>
                <c:pt idx="1">
                  <c:v>196</c:v>
                </c:pt>
                <c:pt idx="2">
                  <c:v>193</c:v>
                </c:pt>
                <c:pt idx="3">
                  <c:v>188</c:v>
                </c:pt>
                <c:pt idx="4">
                  <c:v>197</c:v>
                </c:pt>
                <c:pt idx="5">
                  <c:v>198</c:v>
                </c:pt>
                <c:pt idx="6">
                  <c:v>178</c:v>
                </c:pt>
                <c:pt idx="7">
                  <c:v>197</c:v>
                </c:pt>
                <c:pt idx="8">
                  <c:v>195</c:v>
                </c:pt>
                <c:pt idx="9">
                  <c:v>198</c:v>
                </c:pt>
                <c:pt idx="10">
                  <c:v>193</c:v>
                </c:pt>
                <c:pt idx="11">
                  <c:v>194</c:v>
                </c:pt>
                <c:pt idx="12">
                  <c:v>185</c:v>
                </c:pt>
                <c:pt idx="13">
                  <c:v>201</c:v>
                </c:pt>
                <c:pt idx="14">
                  <c:v>190</c:v>
                </c:pt>
                <c:pt idx="15">
                  <c:v>201</c:v>
                </c:pt>
                <c:pt idx="16">
                  <c:v>197</c:v>
                </c:pt>
                <c:pt idx="17">
                  <c:v>181</c:v>
                </c:pt>
                <c:pt idx="18">
                  <c:v>190</c:v>
                </c:pt>
                <c:pt idx="19">
                  <c:v>195</c:v>
                </c:pt>
                <c:pt idx="20">
                  <c:v>181</c:v>
                </c:pt>
                <c:pt idx="21">
                  <c:v>191</c:v>
                </c:pt>
                <c:pt idx="22">
                  <c:v>187</c:v>
                </c:pt>
                <c:pt idx="23">
                  <c:v>193</c:v>
                </c:pt>
                <c:pt idx="24">
                  <c:v>195</c:v>
                </c:pt>
                <c:pt idx="25">
                  <c:v>197</c:v>
                </c:pt>
                <c:pt idx="26">
                  <c:v>200</c:v>
                </c:pt>
                <c:pt idx="27">
                  <c:v>200</c:v>
                </c:pt>
                <c:pt idx="28">
                  <c:v>191</c:v>
                </c:pt>
                <c:pt idx="29">
                  <c:v>205</c:v>
                </c:pt>
                <c:pt idx="30">
                  <c:v>187</c:v>
                </c:pt>
                <c:pt idx="31">
                  <c:v>201</c:v>
                </c:pt>
                <c:pt idx="32">
                  <c:v>187</c:v>
                </c:pt>
                <c:pt idx="33">
                  <c:v>203</c:v>
                </c:pt>
                <c:pt idx="34">
                  <c:v>195</c:v>
                </c:pt>
                <c:pt idx="35">
                  <c:v>199</c:v>
                </c:pt>
                <c:pt idx="36">
                  <c:v>195</c:v>
                </c:pt>
                <c:pt idx="37">
                  <c:v>210</c:v>
                </c:pt>
                <c:pt idx="38">
                  <c:v>192</c:v>
                </c:pt>
                <c:pt idx="39">
                  <c:v>205</c:v>
                </c:pt>
                <c:pt idx="40">
                  <c:v>210</c:v>
                </c:pt>
                <c:pt idx="41">
                  <c:v>187</c:v>
                </c:pt>
                <c:pt idx="42">
                  <c:v>196</c:v>
                </c:pt>
                <c:pt idx="43">
                  <c:v>196</c:v>
                </c:pt>
                <c:pt idx="44">
                  <c:v>196</c:v>
                </c:pt>
                <c:pt idx="45">
                  <c:v>201</c:v>
                </c:pt>
                <c:pt idx="46">
                  <c:v>190</c:v>
                </c:pt>
                <c:pt idx="47">
                  <c:v>212</c:v>
                </c:pt>
                <c:pt idx="48">
                  <c:v>187</c:v>
                </c:pt>
                <c:pt idx="49">
                  <c:v>198</c:v>
                </c:pt>
                <c:pt idx="50">
                  <c:v>199</c:v>
                </c:pt>
                <c:pt idx="51">
                  <c:v>201</c:v>
                </c:pt>
                <c:pt idx="52">
                  <c:v>193</c:v>
                </c:pt>
                <c:pt idx="53">
                  <c:v>203</c:v>
                </c:pt>
                <c:pt idx="54">
                  <c:v>187</c:v>
                </c:pt>
                <c:pt idx="55">
                  <c:v>197</c:v>
                </c:pt>
                <c:pt idx="56">
                  <c:v>191</c:v>
                </c:pt>
                <c:pt idx="57">
                  <c:v>203</c:v>
                </c:pt>
                <c:pt idx="58">
                  <c:v>202</c:v>
                </c:pt>
                <c:pt idx="59">
                  <c:v>194</c:v>
                </c:pt>
                <c:pt idx="60">
                  <c:v>206</c:v>
                </c:pt>
                <c:pt idx="61">
                  <c:v>189</c:v>
                </c:pt>
                <c:pt idx="62">
                  <c:v>195</c:v>
                </c:pt>
                <c:pt idx="63">
                  <c:v>207</c:v>
                </c:pt>
                <c:pt idx="64">
                  <c:v>202</c:v>
                </c:pt>
                <c:pt idx="65">
                  <c:v>193</c:v>
                </c:pt>
                <c:pt idx="66">
                  <c:v>210</c:v>
                </c:pt>
                <c:pt idx="67">
                  <c:v>198</c:v>
                </c:pt>
              </c:numCache>
            </c:numRef>
          </c:xVal>
          <c:yVal>
            <c:numRef>
              <c:f>penglings!$G$278:$G$345</c:f>
              <c:numCache>
                <c:formatCode>0.00</c:formatCode>
                <c:ptCount val="68"/>
                <c:pt idx="0">
                  <c:v>3500</c:v>
                </c:pt>
                <c:pt idx="1">
                  <c:v>3900</c:v>
                </c:pt>
                <c:pt idx="2">
                  <c:v>3650</c:v>
                </c:pt>
                <c:pt idx="3">
                  <c:v>3525</c:v>
                </c:pt>
                <c:pt idx="4">
                  <c:v>3725</c:v>
                </c:pt>
                <c:pt idx="5">
                  <c:v>3950</c:v>
                </c:pt>
                <c:pt idx="6">
                  <c:v>3250</c:v>
                </c:pt>
                <c:pt idx="7">
                  <c:v>3750</c:v>
                </c:pt>
                <c:pt idx="8">
                  <c:v>4150</c:v>
                </c:pt>
                <c:pt idx="9">
                  <c:v>3700</c:v>
                </c:pt>
                <c:pt idx="10">
                  <c:v>3800</c:v>
                </c:pt>
                <c:pt idx="11">
                  <c:v>3775</c:v>
                </c:pt>
                <c:pt idx="12">
                  <c:v>3700</c:v>
                </c:pt>
                <c:pt idx="13">
                  <c:v>4050</c:v>
                </c:pt>
                <c:pt idx="14">
                  <c:v>3575</c:v>
                </c:pt>
                <c:pt idx="15">
                  <c:v>4050</c:v>
                </c:pt>
                <c:pt idx="16">
                  <c:v>3300</c:v>
                </c:pt>
                <c:pt idx="17">
                  <c:v>3700</c:v>
                </c:pt>
                <c:pt idx="18">
                  <c:v>3450</c:v>
                </c:pt>
                <c:pt idx="19">
                  <c:v>4400</c:v>
                </c:pt>
                <c:pt idx="20">
                  <c:v>3600</c:v>
                </c:pt>
                <c:pt idx="21">
                  <c:v>3400</c:v>
                </c:pt>
                <c:pt idx="22">
                  <c:v>2900</c:v>
                </c:pt>
                <c:pt idx="23">
                  <c:v>3800</c:v>
                </c:pt>
                <c:pt idx="24">
                  <c:v>3300</c:v>
                </c:pt>
                <c:pt idx="25">
                  <c:v>4150</c:v>
                </c:pt>
                <c:pt idx="26">
                  <c:v>3400</c:v>
                </c:pt>
                <c:pt idx="27">
                  <c:v>3800</c:v>
                </c:pt>
                <c:pt idx="28">
                  <c:v>3700</c:v>
                </c:pt>
                <c:pt idx="29">
                  <c:v>4550</c:v>
                </c:pt>
                <c:pt idx="30">
                  <c:v>3200</c:v>
                </c:pt>
                <c:pt idx="31">
                  <c:v>4300</c:v>
                </c:pt>
                <c:pt idx="32">
                  <c:v>3350</c:v>
                </c:pt>
                <c:pt idx="33">
                  <c:v>4100</c:v>
                </c:pt>
                <c:pt idx="34">
                  <c:v>3600</c:v>
                </c:pt>
                <c:pt idx="35">
                  <c:v>3900</c:v>
                </c:pt>
                <c:pt idx="36">
                  <c:v>3850</c:v>
                </c:pt>
                <c:pt idx="37">
                  <c:v>4800</c:v>
                </c:pt>
                <c:pt idx="38">
                  <c:v>2700</c:v>
                </c:pt>
                <c:pt idx="39">
                  <c:v>4500</c:v>
                </c:pt>
                <c:pt idx="40">
                  <c:v>3950</c:v>
                </c:pt>
                <c:pt idx="41">
                  <c:v>3650</c:v>
                </c:pt>
                <c:pt idx="42">
                  <c:v>3550</c:v>
                </c:pt>
                <c:pt idx="43">
                  <c:v>3500</c:v>
                </c:pt>
                <c:pt idx="44">
                  <c:v>3675</c:v>
                </c:pt>
                <c:pt idx="45">
                  <c:v>4450</c:v>
                </c:pt>
                <c:pt idx="46">
                  <c:v>3400</c:v>
                </c:pt>
                <c:pt idx="47">
                  <c:v>4300</c:v>
                </c:pt>
                <c:pt idx="48">
                  <c:v>3250</c:v>
                </c:pt>
                <c:pt idx="49">
                  <c:v>3675</c:v>
                </c:pt>
                <c:pt idx="50">
                  <c:v>3325</c:v>
                </c:pt>
                <c:pt idx="51">
                  <c:v>3950</c:v>
                </c:pt>
                <c:pt idx="52">
                  <c:v>3600</c:v>
                </c:pt>
                <c:pt idx="53">
                  <c:v>4050</c:v>
                </c:pt>
                <c:pt idx="54">
                  <c:v>3350</c:v>
                </c:pt>
                <c:pt idx="55">
                  <c:v>3450</c:v>
                </c:pt>
                <c:pt idx="56">
                  <c:v>3250</c:v>
                </c:pt>
                <c:pt idx="57">
                  <c:v>4050</c:v>
                </c:pt>
                <c:pt idx="58">
                  <c:v>3800</c:v>
                </c:pt>
                <c:pt idx="59">
                  <c:v>3525</c:v>
                </c:pt>
                <c:pt idx="60">
                  <c:v>3950</c:v>
                </c:pt>
                <c:pt idx="61">
                  <c:v>3650</c:v>
                </c:pt>
                <c:pt idx="62">
                  <c:v>3650</c:v>
                </c:pt>
                <c:pt idx="63">
                  <c:v>4000</c:v>
                </c:pt>
                <c:pt idx="64">
                  <c:v>3400</c:v>
                </c:pt>
                <c:pt idx="65">
                  <c:v>3775</c:v>
                </c:pt>
                <c:pt idx="66">
                  <c:v>4100</c:v>
                </c:pt>
                <c:pt idx="67">
                  <c:v>3775</c:v>
                </c:pt>
              </c:numCache>
            </c:numRef>
          </c:yVal>
          <c:bubbleSize>
            <c:numRef>
              <c:f>penglings!$D$278:$D$345</c:f>
              <c:numCache>
                <c:formatCode>0.00</c:formatCode>
                <c:ptCount val="68"/>
                <c:pt idx="0">
                  <c:v>46.5</c:v>
                </c:pt>
                <c:pt idx="1">
                  <c:v>50</c:v>
                </c:pt>
                <c:pt idx="2">
                  <c:v>51.3</c:v>
                </c:pt>
                <c:pt idx="3">
                  <c:v>45.4</c:v>
                </c:pt>
                <c:pt idx="4">
                  <c:v>52.7</c:v>
                </c:pt>
                <c:pt idx="5">
                  <c:v>45.2</c:v>
                </c:pt>
                <c:pt idx="6">
                  <c:v>46.1</c:v>
                </c:pt>
                <c:pt idx="7">
                  <c:v>51.3</c:v>
                </c:pt>
                <c:pt idx="8">
                  <c:v>46</c:v>
                </c:pt>
                <c:pt idx="9">
                  <c:v>51.3</c:v>
                </c:pt>
                <c:pt idx="10">
                  <c:v>46.6</c:v>
                </c:pt>
                <c:pt idx="11">
                  <c:v>51.7</c:v>
                </c:pt>
                <c:pt idx="12">
                  <c:v>47</c:v>
                </c:pt>
                <c:pt idx="13">
                  <c:v>52</c:v>
                </c:pt>
                <c:pt idx="14">
                  <c:v>45.9</c:v>
                </c:pt>
                <c:pt idx="15">
                  <c:v>50.5</c:v>
                </c:pt>
                <c:pt idx="16">
                  <c:v>50.3</c:v>
                </c:pt>
                <c:pt idx="17">
                  <c:v>58</c:v>
                </c:pt>
                <c:pt idx="18">
                  <c:v>46.4</c:v>
                </c:pt>
                <c:pt idx="19">
                  <c:v>49.2</c:v>
                </c:pt>
                <c:pt idx="20">
                  <c:v>42.4</c:v>
                </c:pt>
                <c:pt idx="21">
                  <c:v>48.5</c:v>
                </c:pt>
                <c:pt idx="22">
                  <c:v>43.2</c:v>
                </c:pt>
                <c:pt idx="23">
                  <c:v>50.6</c:v>
                </c:pt>
                <c:pt idx="24">
                  <c:v>46.7</c:v>
                </c:pt>
                <c:pt idx="25">
                  <c:v>52</c:v>
                </c:pt>
                <c:pt idx="26">
                  <c:v>50.5</c:v>
                </c:pt>
                <c:pt idx="27">
                  <c:v>49.5</c:v>
                </c:pt>
                <c:pt idx="28">
                  <c:v>46.4</c:v>
                </c:pt>
                <c:pt idx="29">
                  <c:v>52.8</c:v>
                </c:pt>
                <c:pt idx="30">
                  <c:v>40.9</c:v>
                </c:pt>
                <c:pt idx="31">
                  <c:v>54.2</c:v>
                </c:pt>
                <c:pt idx="32">
                  <c:v>42.5</c:v>
                </c:pt>
                <c:pt idx="33">
                  <c:v>51</c:v>
                </c:pt>
                <c:pt idx="34">
                  <c:v>49.7</c:v>
                </c:pt>
                <c:pt idx="35">
                  <c:v>47.5</c:v>
                </c:pt>
                <c:pt idx="36">
                  <c:v>47.6</c:v>
                </c:pt>
                <c:pt idx="37">
                  <c:v>52</c:v>
                </c:pt>
                <c:pt idx="38">
                  <c:v>46.9</c:v>
                </c:pt>
                <c:pt idx="39">
                  <c:v>53.5</c:v>
                </c:pt>
                <c:pt idx="40">
                  <c:v>49</c:v>
                </c:pt>
                <c:pt idx="41">
                  <c:v>46.2</c:v>
                </c:pt>
                <c:pt idx="42">
                  <c:v>50.9</c:v>
                </c:pt>
                <c:pt idx="43">
                  <c:v>45.5</c:v>
                </c:pt>
                <c:pt idx="44">
                  <c:v>50.9</c:v>
                </c:pt>
                <c:pt idx="45">
                  <c:v>50.8</c:v>
                </c:pt>
                <c:pt idx="46">
                  <c:v>50.1</c:v>
                </c:pt>
                <c:pt idx="47">
                  <c:v>49</c:v>
                </c:pt>
                <c:pt idx="48">
                  <c:v>51.5</c:v>
                </c:pt>
                <c:pt idx="49">
                  <c:v>49.8</c:v>
                </c:pt>
                <c:pt idx="50">
                  <c:v>48.1</c:v>
                </c:pt>
                <c:pt idx="51">
                  <c:v>51.4</c:v>
                </c:pt>
                <c:pt idx="52">
                  <c:v>45.7</c:v>
                </c:pt>
                <c:pt idx="53">
                  <c:v>50.7</c:v>
                </c:pt>
                <c:pt idx="54">
                  <c:v>42.5</c:v>
                </c:pt>
                <c:pt idx="55">
                  <c:v>52.2</c:v>
                </c:pt>
                <c:pt idx="56">
                  <c:v>45.2</c:v>
                </c:pt>
                <c:pt idx="57">
                  <c:v>49.3</c:v>
                </c:pt>
                <c:pt idx="58">
                  <c:v>50.2</c:v>
                </c:pt>
                <c:pt idx="59">
                  <c:v>45.6</c:v>
                </c:pt>
                <c:pt idx="60">
                  <c:v>51.9</c:v>
                </c:pt>
                <c:pt idx="61">
                  <c:v>46.8</c:v>
                </c:pt>
                <c:pt idx="62">
                  <c:v>45.7</c:v>
                </c:pt>
                <c:pt idx="63">
                  <c:v>55.8</c:v>
                </c:pt>
                <c:pt idx="64">
                  <c:v>43.5</c:v>
                </c:pt>
                <c:pt idx="65">
                  <c:v>49.6</c:v>
                </c:pt>
                <c:pt idx="66">
                  <c:v>50.8</c:v>
                </c:pt>
                <c:pt idx="67">
                  <c:v>50.2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C12B-4814-A30F-1E1A8FB6C138}"/>
            </c:ext>
          </c:extLst>
        </c:ser>
        <c:ser>
          <c:idx val="2"/>
          <c:order val="2"/>
          <c:tx>
            <c:v>Gentoo</c:v>
          </c:tx>
          <c:spPr>
            <a:solidFill>
              <a:srgbClr val="0070C0">
                <a:alpha val="70000"/>
              </a:srgbClr>
            </a:solidFill>
            <a:ln w="25400">
              <a:noFill/>
            </a:ln>
            <a:effectLst/>
          </c:spPr>
          <c:invertIfNegative val="0"/>
          <c:xVal>
            <c:numRef>
              <c:f>penglings!$F$154:$F$277</c:f>
              <c:numCache>
                <c:formatCode>0.00</c:formatCode>
                <c:ptCount val="123"/>
                <c:pt idx="0">
                  <c:v>211</c:v>
                </c:pt>
                <c:pt idx="1">
                  <c:v>230</c:v>
                </c:pt>
                <c:pt idx="2">
                  <c:v>210</c:v>
                </c:pt>
                <c:pt idx="3">
                  <c:v>218</c:v>
                </c:pt>
                <c:pt idx="4">
                  <c:v>215</c:v>
                </c:pt>
                <c:pt idx="5">
                  <c:v>210</c:v>
                </c:pt>
                <c:pt idx="6">
                  <c:v>211</c:v>
                </c:pt>
                <c:pt idx="7">
                  <c:v>219</c:v>
                </c:pt>
                <c:pt idx="8">
                  <c:v>209</c:v>
                </c:pt>
                <c:pt idx="9">
                  <c:v>215</c:v>
                </c:pt>
                <c:pt idx="10">
                  <c:v>214</c:v>
                </c:pt>
                <c:pt idx="11">
                  <c:v>216</c:v>
                </c:pt>
                <c:pt idx="12">
                  <c:v>214</c:v>
                </c:pt>
                <c:pt idx="13">
                  <c:v>213</c:v>
                </c:pt>
                <c:pt idx="14">
                  <c:v>210</c:v>
                </c:pt>
                <c:pt idx="15">
                  <c:v>217</c:v>
                </c:pt>
                <c:pt idx="16">
                  <c:v>210</c:v>
                </c:pt>
                <c:pt idx="17">
                  <c:v>221</c:v>
                </c:pt>
                <c:pt idx="18">
                  <c:v>209</c:v>
                </c:pt>
                <c:pt idx="19">
                  <c:v>222</c:v>
                </c:pt>
                <c:pt idx="20">
                  <c:v>218</c:v>
                </c:pt>
                <c:pt idx="21">
                  <c:v>215</c:v>
                </c:pt>
                <c:pt idx="22">
                  <c:v>213</c:v>
                </c:pt>
                <c:pt idx="23">
                  <c:v>215</c:v>
                </c:pt>
                <c:pt idx="24">
                  <c:v>215</c:v>
                </c:pt>
                <c:pt idx="25">
                  <c:v>215</c:v>
                </c:pt>
                <c:pt idx="26">
                  <c:v>216</c:v>
                </c:pt>
                <c:pt idx="27">
                  <c:v>215</c:v>
                </c:pt>
                <c:pt idx="28">
                  <c:v>210</c:v>
                </c:pt>
                <c:pt idx="29">
                  <c:v>220</c:v>
                </c:pt>
                <c:pt idx="30">
                  <c:v>222</c:v>
                </c:pt>
                <c:pt idx="31">
                  <c:v>209</c:v>
                </c:pt>
                <c:pt idx="32">
                  <c:v>207</c:v>
                </c:pt>
                <c:pt idx="33">
                  <c:v>230</c:v>
                </c:pt>
                <c:pt idx="34">
                  <c:v>220</c:v>
                </c:pt>
                <c:pt idx="35">
                  <c:v>220</c:v>
                </c:pt>
                <c:pt idx="36">
                  <c:v>213</c:v>
                </c:pt>
                <c:pt idx="37">
                  <c:v>219</c:v>
                </c:pt>
                <c:pt idx="38">
                  <c:v>208</c:v>
                </c:pt>
                <c:pt idx="39">
                  <c:v>208</c:v>
                </c:pt>
                <c:pt idx="40">
                  <c:v>208</c:v>
                </c:pt>
                <c:pt idx="41">
                  <c:v>225</c:v>
                </c:pt>
                <c:pt idx="42">
                  <c:v>210</c:v>
                </c:pt>
                <c:pt idx="43">
                  <c:v>216</c:v>
                </c:pt>
                <c:pt idx="44">
                  <c:v>222</c:v>
                </c:pt>
                <c:pt idx="45">
                  <c:v>217</c:v>
                </c:pt>
                <c:pt idx="46">
                  <c:v>210</c:v>
                </c:pt>
                <c:pt idx="47">
                  <c:v>225</c:v>
                </c:pt>
                <c:pt idx="48">
                  <c:v>213</c:v>
                </c:pt>
                <c:pt idx="49">
                  <c:v>215</c:v>
                </c:pt>
                <c:pt idx="50">
                  <c:v>210</c:v>
                </c:pt>
                <c:pt idx="51">
                  <c:v>220</c:v>
                </c:pt>
                <c:pt idx="52">
                  <c:v>210</c:v>
                </c:pt>
                <c:pt idx="53">
                  <c:v>225</c:v>
                </c:pt>
                <c:pt idx="54">
                  <c:v>217</c:v>
                </c:pt>
                <c:pt idx="55">
                  <c:v>220</c:v>
                </c:pt>
                <c:pt idx="56">
                  <c:v>208</c:v>
                </c:pt>
                <c:pt idx="57">
                  <c:v>220</c:v>
                </c:pt>
                <c:pt idx="58">
                  <c:v>208</c:v>
                </c:pt>
                <c:pt idx="59">
                  <c:v>224</c:v>
                </c:pt>
                <c:pt idx="60">
                  <c:v>208</c:v>
                </c:pt>
                <c:pt idx="61">
                  <c:v>221</c:v>
                </c:pt>
                <c:pt idx="62">
                  <c:v>214</c:v>
                </c:pt>
                <c:pt idx="63">
                  <c:v>231</c:v>
                </c:pt>
                <c:pt idx="64">
                  <c:v>219</c:v>
                </c:pt>
                <c:pt idx="65">
                  <c:v>230</c:v>
                </c:pt>
                <c:pt idx="66">
                  <c:v>214</c:v>
                </c:pt>
                <c:pt idx="67">
                  <c:v>229</c:v>
                </c:pt>
                <c:pt idx="68">
                  <c:v>220</c:v>
                </c:pt>
                <c:pt idx="69">
                  <c:v>223</c:v>
                </c:pt>
                <c:pt idx="70">
                  <c:v>216</c:v>
                </c:pt>
                <c:pt idx="71">
                  <c:v>221</c:v>
                </c:pt>
                <c:pt idx="72">
                  <c:v>221</c:v>
                </c:pt>
                <c:pt idx="73">
                  <c:v>217</c:v>
                </c:pt>
                <c:pt idx="74">
                  <c:v>216</c:v>
                </c:pt>
                <c:pt idx="75">
                  <c:v>230</c:v>
                </c:pt>
                <c:pt idx="76">
                  <c:v>209</c:v>
                </c:pt>
                <c:pt idx="77">
                  <c:v>220</c:v>
                </c:pt>
                <c:pt idx="78">
                  <c:v>215</c:v>
                </c:pt>
                <c:pt idx="79">
                  <c:v>223</c:v>
                </c:pt>
                <c:pt idx="80">
                  <c:v>212</c:v>
                </c:pt>
                <c:pt idx="81">
                  <c:v>221</c:v>
                </c:pt>
                <c:pt idx="82">
                  <c:v>212</c:v>
                </c:pt>
                <c:pt idx="83">
                  <c:v>224</c:v>
                </c:pt>
                <c:pt idx="84">
                  <c:v>212</c:v>
                </c:pt>
                <c:pt idx="85">
                  <c:v>228</c:v>
                </c:pt>
                <c:pt idx="86">
                  <c:v>218</c:v>
                </c:pt>
                <c:pt idx="87">
                  <c:v>218</c:v>
                </c:pt>
                <c:pt idx="88">
                  <c:v>212</c:v>
                </c:pt>
                <c:pt idx="89">
                  <c:v>230</c:v>
                </c:pt>
                <c:pt idx="90">
                  <c:v>218</c:v>
                </c:pt>
                <c:pt idx="91">
                  <c:v>228</c:v>
                </c:pt>
                <c:pt idx="92">
                  <c:v>212</c:v>
                </c:pt>
                <c:pt idx="93">
                  <c:v>224</c:v>
                </c:pt>
                <c:pt idx="94">
                  <c:v>214</c:v>
                </c:pt>
                <c:pt idx="95">
                  <c:v>226</c:v>
                </c:pt>
                <c:pt idx="96">
                  <c:v>216</c:v>
                </c:pt>
                <c:pt idx="97">
                  <c:v>222</c:v>
                </c:pt>
                <c:pt idx="98">
                  <c:v>203</c:v>
                </c:pt>
                <c:pt idx="99">
                  <c:v>225</c:v>
                </c:pt>
                <c:pt idx="100">
                  <c:v>219</c:v>
                </c:pt>
                <c:pt idx="101">
                  <c:v>228</c:v>
                </c:pt>
                <c:pt idx="102">
                  <c:v>215</c:v>
                </c:pt>
                <c:pt idx="103">
                  <c:v>228</c:v>
                </c:pt>
                <c:pt idx="104">
                  <c:v>216</c:v>
                </c:pt>
                <c:pt idx="105">
                  <c:v>215</c:v>
                </c:pt>
                <c:pt idx="106">
                  <c:v>210</c:v>
                </c:pt>
                <c:pt idx="107">
                  <c:v>219</c:v>
                </c:pt>
                <c:pt idx="108">
                  <c:v>208</c:v>
                </c:pt>
                <c:pt idx="109">
                  <c:v>209</c:v>
                </c:pt>
                <c:pt idx="110">
                  <c:v>216</c:v>
                </c:pt>
                <c:pt idx="111">
                  <c:v>229</c:v>
                </c:pt>
                <c:pt idx="112">
                  <c:v>213</c:v>
                </c:pt>
                <c:pt idx="113">
                  <c:v>230</c:v>
                </c:pt>
                <c:pt idx="114">
                  <c:v>217</c:v>
                </c:pt>
                <c:pt idx="115">
                  <c:v>230</c:v>
                </c:pt>
                <c:pt idx="116">
                  <c:v>217</c:v>
                </c:pt>
                <c:pt idx="117">
                  <c:v>222</c:v>
                </c:pt>
                <c:pt idx="118">
                  <c:v>214</c:v>
                </c:pt>
                <c:pt idx="119">
                  <c:v>215</c:v>
                </c:pt>
                <c:pt idx="120">
                  <c:v>222</c:v>
                </c:pt>
                <c:pt idx="121">
                  <c:v>212</c:v>
                </c:pt>
                <c:pt idx="122">
                  <c:v>213</c:v>
                </c:pt>
              </c:numCache>
            </c:numRef>
          </c:xVal>
          <c:yVal>
            <c:numRef>
              <c:f>penglings!$G$154:$G$277</c:f>
              <c:numCache>
                <c:formatCode>0.00</c:formatCode>
                <c:ptCount val="123"/>
                <c:pt idx="0">
                  <c:v>4500</c:v>
                </c:pt>
                <c:pt idx="1">
                  <c:v>5700</c:v>
                </c:pt>
                <c:pt idx="2">
                  <c:v>4450</c:v>
                </c:pt>
                <c:pt idx="3">
                  <c:v>5700</c:v>
                </c:pt>
                <c:pt idx="4">
                  <c:v>5400</c:v>
                </c:pt>
                <c:pt idx="5">
                  <c:v>4550</c:v>
                </c:pt>
                <c:pt idx="6">
                  <c:v>4800</c:v>
                </c:pt>
                <c:pt idx="7">
                  <c:v>5200</c:v>
                </c:pt>
                <c:pt idx="8">
                  <c:v>4400</c:v>
                </c:pt>
                <c:pt idx="9">
                  <c:v>5150</c:v>
                </c:pt>
                <c:pt idx="10">
                  <c:v>4650</c:v>
                </c:pt>
                <c:pt idx="11">
                  <c:v>5550</c:v>
                </c:pt>
                <c:pt idx="12">
                  <c:v>4650</c:v>
                </c:pt>
                <c:pt idx="13">
                  <c:v>5850</c:v>
                </c:pt>
                <c:pt idx="14">
                  <c:v>4200</c:v>
                </c:pt>
                <c:pt idx="15">
                  <c:v>5850</c:v>
                </c:pt>
                <c:pt idx="16">
                  <c:v>4150</c:v>
                </c:pt>
                <c:pt idx="17">
                  <c:v>6300</c:v>
                </c:pt>
                <c:pt idx="18">
                  <c:v>4800</c:v>
                </c:pt>
                <c:pt idx="19">
                  <c:v>5350</c:v>
                </c:pt>
                <c:pt idx="20">
                  <c:v>5700</c:v>
                </c:pt>
                <c:pt idx="21">
                  <c:v>5000</c:v>
                </c:pt>
                <c:pt idx="22">
                  <c:v>4400</c:v>
                </c:pt>
                <c:pt idx="23">
                  <c:v>5050</c:v>
                </c:pt>
                <c:pt idx="24">
                  <c:v>5000</c:v>
                </c:pt>
                <c:pt idx="25">
                  <c:v>5100</c:v>
                </c:pt>
                <c:pt idx="26">
                  <c:v>4100</c:v>
                </c:pt>
                <c:pt idx="27">
                  <c:v>5650</c:v>
                </c:pt>
                <c:pt idx="28">
                  <c:v>4600</c:v>
                </c:pt>
                <c:pt idx="29">
                  <c:v>5550</c:v>
                </c:pt>
                <c:pt idx="30">
                  <c:v>5250</c:v>
                </c:pt>
                <c:pt idx="31">
                  <c:v>4700</c:v>
                </c:pt>
                <c:pt idx="32">
                  <c:v>5050</c:v>
                </c:pt>
                <c:pt idx="33">
                  <c:v>6050</c:v>
                </c:pt>
                <c:pt idx="34">
                  <c:v>5150</c:v>
                </c:pt>
                <c:pt idx="35">
                  <c:v>5400</c:v>
                </c:pt>
                <c:pt idx="36">
                  <c:v>4950</c:v>
                </c:pt>
                <c:pt idx="37">
                  <c:v>5250</c:v>
                </c:pt>
                <c:pt idx="38">
                  <c:v>4350</c:v>
                </c:pt>
                <c:pt idx="39">
                  <c:v>5350</c:v>
                </c:pt>
                <c:pt idx="40">
                  <c:v>3950</c:v>
                </c:pt>
                <c:pt idx="41">
                  <c:v>5700</c:v>
                </c:pt>
                <c:pt idx="42">
                  <c:v>4300</c:v>
                </c:pt>
                <c:pt idx="43">
                  <c:v>4750</c:v>
                </c:pt>
                <c:pt idx="44">
                  <c:v>5550</c:v>
                </c:pt>
                <c:pt idx="45">
                  <c:v>4900</c:v>
                </c:pt>
                <c:pt idx="46">
                  <c:v>4200</c:v>
                </c:pt>
                <c:pt idx="47">
                  <c:v>5400</c:v>
                </c:pt>
                <c:pt idx="48">
                  <c:v>5100</c:v>
                </c:pt>
                <c:pt idx="49">
                  <c:v>5300</c:v>
                </c:pt>
                <c:pt idx="50">
                  <c:v>4850</c:v>
                </c:pt>
                <c:pt idx="51">
                  <c:v>5300</c:v>
                </c:pt>
                <c:pt idx="52">
                  <c:v>4400</c:v>
                </c:pt>
                <c:pt idx="53">
                  <c:v>5000</c:v>
                </c:pt>
                <c:pt idx="54">
                  <c:v>4900</c:v>
                </c:pt>
                <c:pt idx="55">
                  <c:v>5050</c:v>
                </c:pt>
                <c:pt idx="56">
                  <c:v>4300</c:v>
                </c:pt>
                <c:pt idx="57">
                  <c:v>5000</c:v>
                </c:pt>
                <c:pt idx="58">
                  <c:v>4450</c:v>
                </c:pt>
                <c:pt idx="59">
                  <c:v>5550</c:v>
                </c:pt>
                <c:pt idx="60">
                  <c:v>4200</c:v>
                </c:pt>
                <c:pt idx="61">
                  <c:v>5300</c:v>
                </c:pt>
                <c:pt idx="62">
                  <c:v>4400</c:v>
                </c:pt>
                <c:pt idx="63">
                  <c:v>5650</c:v>
                </c:pt>
                <c:pt idx="64">
                  <c:v>4700</c:v>
                </c:pt>
                <c:pt idx="65">
                  <c:v>5700</c:v>
                </c:pt>
                <c:pt idx="66">
                  <c:v>4650</c:v>
                </c:pt>
                <c:pt idx="67">
                  <c:v>5800</c:v>
                </c:pt>
                <c:pt idx="68">
                  <c:v>4700</c:v>
                </c:pt>
                <c:pt idx="69">
                  <c:v>5550</c:v>
                </c:pt>
                <c:pt idx="70">
                  <c:v>4750</c:v>
                </c:pt>
                <c:pt idx="71">
                  <c:v>5000</c:v>
                </c:pt>
                <c:pt idx="72">
                  <c:v>5100</c:v>
                </c:pt>
                <c:pt idx="73">
                  <c:v>5200</c:v>
                </c:pt>
                <c:pt idx="74">
                  <c:v>4700</c:v>
                </c:pt>
                <c:pt idx="75">
                  <c:v>5800</c:v>
                </c:pt>
                <c:pt idx="76">
                  <c:v>4600</c:v>
                </c:pt>
                <c:pt idx="77">
                  <c:v>6000</c:v>
                </c:pt>
                <c:pt idx="78">
                  <c:v>4750</c:v>
                </c:pt>
                <c:pt idx="79">
                  <c:v>5950</c:v>
                </c:pt>
                <c:pt idx="80">
                  <c:v>4625</c:v>
                </c:pt>
                <c:pt idx="81">
                  <c:v>5450</c:v>
                </c:pt>
                <c:pt idx="82">
                  <c:v>4725</c:v>
                </c:pt>
                <c:pt idx="83">
                  <c:v>5350</c:v>
                </c:pt>
                <c:pt idx="84">
                  <c:v>4750</c:v>
                </c:pt>
                <c:pt idx="85">
                  <c:v>5600</c:v>
                </c:pt>
                <c:pt idx="86">
                  <c:v>4600</c:v>
                </c:pt>
                <c:pt idx="87">
                  <c:v>5300</c:v>
                </c:pt>
                <c:pt idx="88">
                  <c:v>4875</c:v>
                </c:pt>
                <c:pt idx="89">
                  <c:v>5550</c:v>
                </c:pt>
                <c:pt idx="90">
                  <c:v>4950</c:v>
                </c:pt>
                <c:pt idx="91">
                  <c:v>5400</c:v>
                </c:pt>
                <c:pt idx="92">
                  <c:v>4750</c:v>
                </c:pt>
                <c:pt idx="93">
                  <c:v>5650</c:v>
                </c:pt>
                <c:pt idx="94">
                  <c:v>4850</c:v>
                </c:pt>
                <c:pt idx="95">
                  <c:v>5200</c:v>
                </c:pt>
                <c:pt idx="96">
                  <c:v>4925</c:v>
                </c:pt>
                <c:pt idx="97">
                  <c:v>4875</c:v>
                </c:pt>
                <c:pt idx="98">
                  <c:v>4625</c:v>
                </c:pt>
                <c:pt idx="99">
                  <c:v>5250</c:v>
                </c:pt>
                <c:pt idx="100">
                  <c:v>4850</c:v>
                </c:pt>
                <c:pt idx="101">
                  <c:v>5600</c:v>
                </c:pt>
                <c:pt idx="102">
                  <c:v>4975</c:v>
                </c:pt>
                <c:pt idx="103">
                  <c:v>5500</c:v>
                </c:pt>
                <c:pt idx="104">
                  <c:v>4725</c:v>
                </c:pt>
                <c:pt idx="105">
                  <c:v>5500</c:v>
                </c:pt>
                <c:pt idx="106">
                  <c:v>4700</c:v>
                </c:pt>
                <c:pt idx="107">
                  <c:v>5500</c:v>
                </c:pt>
                <c:pt idx="108">
                  <c:v>4575</c:v>
                </c:pt>
                <c:pt idx="109">
                  <c:v>5500</c:v>
                </c:pt>
                <c:pt idx="110">
                  <c:v>5000</c:v>
                </c:pt>
                <c:pt idx="111">
                  <c:v>5950</c:v>
                </c:pt>
                <c:pt idx="112">
                  <c:v>4650</c:v>
                </c:pt>
                <c:pt idx="113">
                  <c:v>5500</c:v>
                </c:pt>
                <c:pt idx="114">
                  <c:v>4375</c:v>
                </c:pt>
                <c:pt idx="115">
                  <c:v>5850</c:v>
                </c:pt>
                <c:pt idx="116">
                  <c:v>4875</c:v>
                </c:pt>
                <c:pt idx="117">
                  <c:v>6000</c:v>
                </c:pt>
                <c:pt idx="118">
                  <c:v>4925</c:v>
                </c:pt>
                <c:pt idx="119">
                  <c:v>4850</c:v>
                </c:pt>
                <c:pt idx="120">
                  <c:v>5750</c:v>
                </c:pt>
                <c:pt idx="121">
                  <c:v>5200</c:v>
                </c:pt>
                <c:pt idx="122">
                  <c:v>5400</c:v>
                </c:pt>
              </c:numCache>
            </c:numRef>
          </c:yVal>
          <c:bubbleSize>
            <c:numRef>
              <c:f>penglings!$D$154:$D$277</c:f>
              <c:numCache>
                <c:formatCode>0.00</c:formatCode>
                <c:ptCount val="123"/>
                <c:pt idx="0">
                  <c:v>46.1</c:v>
                </c:pt>
                <c:pt idx="1">
                  <c:v>50</c:v>
                </c:pt>
                <c:pt idx="2">
                  <c:v>48.7</c:v>
                </c:pt>
                <c:pt idx="3">
                  <c:v>50</c:v>
                </c:pt>
                <c:pt idx="4">
                  <c:v>47.6</c:v>
                </c:pt>
                <c:pt idx="5">
                  <c:v>46.5</c:v>
                </c:pt>
                <c:pt idx="6">
                  <c:v>45.4</c:v>
                </c:pt>
                <c:pt idx="7">
                  <c:v>46.7</c:v>
                </c:pt>
                <c:pt idx="8">
                  <c:v>43.3</c:v>
                </c:pt>
                <c:pt idx="9">
                  <c:v>46.8</c:v>
                </c:pt>
                <c:pt idx="10">
                  <c:v>40.9</c:v>
                </c:pt>
                <c:pt idx="11">
                  <c:v>49</c:v>
                </c:pt>
                <c:pt idx="12">
                  <c:v>45.5</c:v>
                </c:pt>
                <c:pt idx="13">
                  <c:v>48.4</c:v>
                </c:pt>
                <c:pt idx="14">
                  <c:v>45.8</c:v>
                </c:pt>
                <c:pt idx="15">
                  <c:v>49.3</c:v>
                </c:pt>
                <c:pt idx="16">
                  <c:v>42</c:v>
                </c:pt>
                <c:pt idx="17">
                  <c:v>49.2</c:v>
                </c:pt>
                <c:pt idx="18">
                  <c:v>46.2</c:v>
                </c:pt>
                <c:pt idx="19">
                  <c:v>48.7</c:v>
                </c:pt>
                <c:pt idx="20">
                  <c:v>50.2</c:v>
                </c:pt>
                <c:pt idx="21">
                  <c:v>45.1</c:v>
                </c:pt>
                <c:pt idx="22">
                  <c:v>46.5</c:v>
                </c:pt>
                <c:pt idx="23">
                  <c:v>46.3</c:v>
                </c:pt>
                <c:pt idx="24">
                  <c:v>42.9</c:v>
                </c:pt>
                <c:pt idx="25">
                  <c:v>46.1</c:v>
                </c:pt>
                <c:pt idx="26">
                  <c:v>44.5</c:v>
                </c:pt>
                <c:pt idx="27">
                  <c:v>47.8</c:v>
                </c:pt>
                <c:pt idx="28">
                  <c:v>48.2</c:v>
                </c:pt>
                <c:pt idx="29">
                  <c:v>50</c:v>
                </c:pt>
                <c:pt idx="30">
                  <c:v>47.3</c:v>
                </c:pt>
                <c:pt idx="31">
                  <c:v>42.8</c:v>
                </c:pt>
                <c:pt idx="32">
                  <c:v>45.1</c:v>
                </c:pt>
                <c:pt idx="33">
                  <c:v>59.6</c:v>
                </c:pt>
                <c:pt idx="34">
                  <c:v>49.1</c:v>
                </c:pt>
                <c:pt idx="35">
                  <c:v>48.4</c:v>
                </c:pt>
                <c:pt idx="36">
                  <c:v>42.6</c:v>
                </c:pt>
                <c:pt idx="37">
                  <c:v>44.4</c:v>
                </c:pt>
                <c:pt idx="38">
                  <c:v>44</c:v>
                </c:pt>
                <c:pt idx="39">
                  <c:v>48.7</c:v>
                </c:pt>
                <c:pt idx="40">
                  <c:v>42.7</c:v>
                </c:pt>
                <c:pt idx="41">
                  <c:v>49.6</c:v>
                </c:pt>
                <c:pt idx="42">
                  <c:v>45.3</c:v>
                </c:pt>
                <c:pt idx="43">
                  <c:v>49.6</c:v>
                </c:pt>
                <c:pt idx="44">
                  <c:v>50.5</c:v>
                </c:pt>
                <c:pt idx="45">
                  <c:v>43.6</c:v>
                </c:pt>
                <c:pt idx="46">
                  <c:v>45.5</c:v>
                </c:pt>
                <c:pt idx="47">
                  <c:v>50.5</c:v>
                </c:pt>
                <c:pt idx="48">
                  <c:v>44.9</c:v>
                </c:pt>
                <c:pt idx="49">
                  <c:v>45.2</c:v>
                </c:pt>
                <c:pt idx="50">
                  <c:v>46.6</c:v>
                </c:pt>
                <c:pt idx="51">
                  <c:v>48.5</c:v>
                </c:pt>
                <c:pt idx="52">
                  <c:v>45.1</c:v>
                </c:pt>
                <c:pt idx="53">
                  <c:v>50.1</c:v>
                </c:pt>
                <c:pt idx="54">
                  <c:v>46.5</c:v>
                </c:pt>
                <c:pt idx="55">
                  <c:v>45</c:v>
                </c:pt>
                <c:pt idx="56">
                  <c:v>43.8</c:v>
                </c:pt>
                <c:pt idx="57">
                  <c:v>45.5</c:v>
                </c:pt>
                <c:pt idx="58">
                  <c:v>43.2</c:v>
                </c:pt>
                <c:pt idx="59">
                  <c:v>50.4</c:v>
                </c:pt>
                <c:pt idx="60">
                  <c:v>45.3</c:v>
                </c:pt>
                <c:pt idx="61">
                  <c:v>46.2</c:v>
                </c:pt>
                <c:pt idx="62">
                  <c:v>45.7</c:v>
                </c:pt>
                <c:pt idx="63">
                  <c:v>54.3</c:v>
                </c:pt>
                <c:pt idx="64">
                  <c:v>45.8</c:v>
                </c:pt>
                <c:pt idx="65">
                  <c:v>49.8</c:v>
                </c:pt>
                <c:pt idx="66">
                  <c:v>46.2</c:v>
                </c:pt>
                <c:pt idx="67">
                  <c:v>49.5</c:v>
                </c:pt>
                <c:pt idx="68">
                  <c:v>43.5</c:v>
                </c:pt>
                <c:pt idx="69">
                  <c:v>50.7</c:v>
                </c:pt>
                <c:pt idx="70">
                  <c:v>47.7</c:v>
                </c:pt>
                <c:pt idx="71">
                  <c:v>46.4</c:v>
                </c:pt>
                <c:pt idx="72">
                  <c:v>48.2</c:v>
                </c:pt>
                <c:pt idx="73">
                  <c:v>46.5</c:v>
                </c:pt>
                <c:pt idx="74">
                  <c:v>46.4</c:v>
                </c:pt>
                <c:pt idx="75">
                  <c:v>48.6</c:v>
                </c:pt>
                <c:pt idx="76">
                  <c:v>47.5</c:v>
                </c:pt>
                <c:pt idx="77">
                  <c:v>51.1</c:v>
                </c:pt>
                <c:pt idx="78">
                  <c:v>45.2</c:v>
                </c:pt>
                <c:pt idx="79">
                  <c:v>45.2</c:v>
                </c:pt>
                <c:pt idx="80">
                  <c:v>49.1</c:v>
                </c:pt>
                <c:pt idx="81">
                  <c:v>52.5</c:v>
                </c:pt>
                <c:pt idx="82">
                  <c:v>47.4</c:v>
                </c:pt>
                <c:pt idx="83">
                  <c:v>50</c:v>
                </c:pt>
                <c:pt idx="84">
                  <c:v>44.9</c:v>
                </c:pt>
                <c:pt idx="85">
                  <c:v>50.8</c:v>
                </c:pt>
                <c:pt idx="86">
                  <c:v>43.4</c:v>
                </c:pt>
                <c:pt idx="87">
                  <c:v>51.3</c:v>
                </c:pt>
                <c:pt idx="88">
                  <c:v>47.5</c:v>
                </c:pt>
                <c:pt idx="89">
                  <c:v>52.1</c:v>
                </c:pt>
                <c:pt idx="90">
                  <c:v>47.5</c:v>
                </c:pt>
                <c:pt idx="91">
                  <c:v>52.2</c:v>
                </c:pt>
                <c:pt idx="92">
                  <c:v>45.5</c:v>
                </c:pt>
                <c:pt idx="93">
                  <c:v>49.5</c:v>
                </c:pt>
                <c:pt idx="94">
                  <c:v>44.5</c:v>
                </c:pt>
                <c:pt idx="95">
                  <c:v>50.8</c:v>
                </c:pt>
                <c:pt idx="96">
                  <c:v>49.4</c:v>
                </c:pt>
                <c:pt idx="97">
                  <c:v>46.9</c:v>
                </c:pt>
                <c:pt idx="98">
                  <c:v>48.4</c:v>
                </c:pt>
                <c:pt idx="99">
                  <c:v>51.1</c:v>
                </c:pt>
                <c:pt idx="100">
                  <c:v>48.5</c:v>
                </c:pt>
                <c:pt idx="101">
                  <c:v>55.9</c:v>
                </c:pt>
                <c:pt idx="102">
                  <c:v>47.2</c:v>
                </c:pt>
                <c:pt idx="103">
                  <c:v>49.1</c:v>
                </c:pt>
                <c:pt idx="104">
                  <c:v>47.3</c:v>
                </c:pt>
                <c:pt idx="105">
                  <c:v>46.8</c:v>
                </c:pt>
                <c:pt idx="106">
                  <c:v>41.7</c:v>
                </c:pt>
                <c:pt idx="107">
                  <c:v>53.4</c:v>
                </c:pt>
                <c:pt idx="108">
                  <c:v>43.3</c:v>
                </c:pt>
                <c:pt idx="109">
                  <c:v>48.1</c:v>
                </c:pt>
                <c:pt idx="110">
                  <c:v>50.5</c:v>
                </c:pt>
                <c:pt idx="111">
                  <c:v>49.8</c:v>
                </c:pt>
                <c:pt idx="112">
                  <c:v>43.5</c:v>
                </c:pt>
                <c:pt idx="113">
                  <c:v>51.5</c:v>
                </c:pt>
                <c:pt idx="114">
                  <c:v>46.2</c:v>
                </c:pt>
                <c:pt idx="115">
                  <c:v>55.1</c:v>
                </c:pt>
                <c:pt idx="116">
                  <c:v>44.5</c:v>
                </c:pt>
                <c:pt idx="117">
                  <c:v>48.8</c:v>
                </c:pt>
                <c:pt idx="118">
                  <c:v>47.2</c:v>
                </c:pt>
                <c:pt idx="119">
                  <c:v>46.8</c:v>
                </c:pt>
                <c:pt idx="120">
                  <c:v>50.4</c:v>
                </c:pt>
                <c:pt idx="121">
                  <c:v>45.2</c:v>
                </c:pt>
                <c:pt idx="122">
                  <c:v>49.9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C12B-4814-A30F-1E1A8FB6C13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bubbleScale val="15"/>
        <c:showNegBubbles val="0"/>
        <c:sizeRepresents val="w"/>
        <c:axId val="357210303"/>
        <c:axId val="612873727"/>
      </c:bubbleChart>
      <c:valAx>
        <c:axId val="357210303"/>
        <c:scaling>
          <c:orientation val="minMax"/>
          <c:min val="1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Flipper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73727"/>
        <c:crosses val="autoZero"/>
        <c:crossBetween val="midCat"/>
      </c:valAx>
      <c:valAx>
        <c:axId val="612873727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Body 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210303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04ED24E-8FE5-4B95-A62F-6356233EEBFB}">
  <sheetPr/>
  <sheetViews>
    <sheetView tabSelected="1" zoomScale="7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81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6052C-78FC-E253-F7B2-2A2B5CA15D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0.88848</cdr:x>
      <cdr:y>0.43741</cdr:y>
    </cdr:from>
    <cdr:to>
      <cdr:x>0.96708</cdr:x>
      <cdr:y>0.47302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DF20E9B-04D9-58A9-AEEB-C35C6A0C9E7A}"/>
            </a:ext>
          </a:extLst>
        </cdr:cNvPr>
        <cdr:cNvSpPr txBox="1"/>
      </cdr:nvSpPr>
      <cdr:spPr>
        <a:xfrm xmlns:a="http://schemas.openxmlformats.org/drawingml/2006/main">
          <a:off x="7689064" y="2747402"/>
          <a:ext cx="680151" cy="223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Species</a:t>
          </a:r>
        </a:p>
      </cdr:txBody>
    </cdr:sp>
  </cdr:relSizeAnchor>
  <cdr:relSizeAnchor xmlns:cdr="http://schemas.openxmlformats.org/drawingml/2006/chartDrawing">
    <cdr:from>
      <cdr:x>0.87591</cdr:x>
      <cdr:y>0.29626</cdr:y>
    </cdr:from>
    <cdr:to>
      <cdr:x>1</cdr:x>
      <cdr:y>0.33899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464DE5A-86F6-DCFB-7AD1-34A97E8C20ED}"/>
            </a:ext>
          </a:extLst>
        </cdr:cNvPr>
        <cdr:cNvSpPr txBox="1"/>
      </cdr:nvSpPr>
      <cdr:spPr>
        <a:xfrm xmlns:a="http://schemas.openxmlformats.org/drawingml/2006/main">
          <a:off x="7593222" y="1864659"/>
          <a:ext cx="1075765" cy="268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bill_length_nm</a:t>
          </a:r>
        </a:p>
      </cdr:txBody>
    </cdr:sp>
  </cdr:relSizeAnchor>
  <cdr:relSizeAnchor xmlns:cdr="http://schemas.openxmlformats.org/drawingml/2006/chartDrawing">
    <cdr:from>
      <cdr:x>0.90669</cdr:x>
      <cdr:y>0.3442</cdr:y>
    </cdr:from>
    <cdr:to>
      <cdr:x>0.92333</cdr:x>
      <cdr:y>0.36426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2D8FF049-19C4-F077-CB6C-F4FED39EE6B0}"/>
            </a:ext>
          </a:extLst>
        </cdr:cNvPr>
        <cdr:cNvSpPr/>
      </cdr:nvSpPr>
      <cdr:spPr>
        <a:xfrm xmlns:a="http://schemas.openxmlformats.org/drawingml/2006/main">
          <a:off x="7860098" y="2166339"/>
          <a:ext cx="144215" cy="126285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2">
            <a:lumMod val="2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>
            <a:solidFill>
              <a:schemeClr val="bg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0.90466</cdr:x>
      <cdr:y>0.37549</cdr:y>
    </cdr:from>
    <cdr:to>
      <cdr:x>0.92535</cdr:x>
      <cdr:y>0.40113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CF5BDC4B-601E-2C74-7411-8C92D18BE220}"/>
            </a:ext>
          </a:extLst>
        </cdr:cNvPr>
        <cdr:cNvSpPr/>
      </cdr:nvSpPr>
      <cdr:spPr>
        <a:xfrm xmlns:a="http://schemas.openxmlformats.org/drawingml/2006/main">
          <a:off x="7842513" y="2363303"/>
          <a:ext cx="179294" cy="161365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2">
            <a:lumMod val="2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>
            <a:solidFill>
              <a:schemeClr val="bg2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0.93021</cdr:x>
      <cdr:y>0.34531</cdr:y>
    </cdr:from>
    <cdr:to>
      <cdr:x>0.97163</cdr:x>
      <cdr:y>0.38183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F58B599-197A-DA26-63F5-9CCCA6549ED6}"/>
            </a:ext>
          </a:extLst>
        </cdr:cNvPr>
        <cdr:cNvSpPr txBox="1"/>
      </cdr:nvSpPr>
      <cdr:spPr>
        <a:xfrm xmlns:a="http://schemas.openxmlformats.org/drawingml/2006/main">
          <a:off x="8063948" y="2173357"/>
          <a:ext cx="359083" cy="2298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050" kern="1200"/>
        </a:p>
      </cdr:txBody>
    </cdr:sp>
  </cdr:relSizeAnchor>
  <cdr:relSizeAnchor xmlns:cdr="http://schemas.openxmlformats.org/drawingml/2006/chartDrawing">
    <cdr:from>
      <cdr:x>0.92753</cdr:x>
      <cdr:y>0.36948</cdr:y>
    </cdr:from>
    <cdr:to>
      <cdr:x>0.96575</cdr:x>
      <cdr:y>0.40528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A8C572F-F885-4D70-9DAF-FF7107B259BB}"/>
            </a:ext>
          </a:extLst>
        </cdr:cNvPr>
        <cdr:cNvSpPr txBox="1"/>
      </cdr:nvSpPr>
      <cdr:spPr>
        <a:xfrm xmlns:a="http://schemas.openxmlformats.org/drawingml/2006/main">
          <a:off x="8040757" y="2325502"/>
          <a:ext cx="331304" cy="2252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50</a:t>
          </a:r>
        </a:p>
      </cdr:txBody>
    </cdr:sp>
  </cdr:relSizeAnchor>
  <cdr:relSizeAnchor xmlns:cdr="http://schemas.openxmlformats.org/drawingml/2006/chartDrawing">
    <cdr:from>
      <cdr:x>0.92345</cdr:x>
      <cdr:y>0.33786</cdr:y>
    </cdr:from>
    <cdr:to>
      <cdr:x>0.96487</cdr:x>
      <cdr:y>0.37438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F0291254-E8DE-CB6C-5243-240963310D34}"/>
            </a:ext>
          </a:extLst>
        </cdr:cNvPr>
        <cdr:cNvSpPr txBox="1"/>
      </cdr:nvSpPr>
      <cdr:spPr>
        <a:xfrm xmlns:a="http://schemas.openxmlformats.org/drawingml/2006/main">
          <a:off x="8005333" y="2126464"/>
          <a:ext cx="359083" cy="2298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kern="1200"/>
            <a:t>40</a:t>
          </a: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AE1E55-8ADE-4BD4-8C30-0813F9307129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Column1" tableColumnId="1"/>
      <queryTableField id="2" name="species" tableColumnId="2"/>
      <queryTableField id="3" name="island" tableColumnId="3"/>
      <queryTableField id="4" name="bill_length_mm" tableColumnId="4"/>
      <queryTableField id="5" name="bill_depth_mm" tableColumnId="5"/>
      <queryTableField id="6" name="flipper_length_mm" tableColumnId="6"/>
      <queryTableField id="7" name="body_mass_g" tableColumnId="7"/>
      <queryTableField id="8" name="sex" tableColumnId="8"/>
      <queryTableField id="9" name="year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8B74D-AF4C-4D02-BDFB-D40310300052}" name="penglings" displayName="penglings" ref="A1:J345" tableType="queryTable" totalsRowShown="0">
  <autoFilter ref="A1:J345" xr:uid="{8648B74D-AF4C-4D02-BDFB-D40310300052}">
    <filterColumn colId="3">
      <customFilters>
        <customFilter operator="notEqual" val="*NA*"/>
      </customFilters>
    </filterColumn>
  </autoFilter>
  <tableColumns count="10">
    <tableColumn id="1" xr3:uid="{41D2B40F-69C5-429C-9DBC-C8C9E245B879}" uniqueName="1" name="Column1" queryTableFieldId="1"/>
    <tableColumn id="2" xr3:uid="{D9F8F8DF-54AC-4E50-BD28-92861D74FF6B}" uniqueName="2" name="species" queryTableFieldId="2" dataDxfId="7"/>
    <tableColumn id="3" xr3:uid="{0D1A2CC9-ACAA-46FB-8D8F-183CD274BEEA}" uniqueName="3" name="island" queryTableFieldId="3" dataDxfId="6"/>
    <tableColumn id="4" xr3:uid="{3D54E722-F05B-4FE3-8FDF-4EFDEBB02AF8}" uniqueName="4" name="bill_length_mm" queryTableFieldId="4" dataDxfId="5"/>
    <tableColumn id="5" xr3:uid="{295B9636-9A46-495E-8938-AF7F07F70DCA}" uniqueName="5" name="bill_depth_mm" queryTableFieldId="5" dataDxfId="4"/>
    <tableColumn id="6" xr3:uid="{959CEC40-A7FE-47AE-A5E3-2F28DF5239BE}" uniqueName="6" name="flipper_length_mm" queryTableFieldId="6" dataDxfId="3"/>
    <tableColumn id="7" xr3:uid="{0586ADED-7D32-4D03-84A9-8D4E7BBFC37C}" uniqueName="7" name="body_mass_g" queryTableFieldId="7" dataDxfId="2"/>
    <tableColumn id="8" xr3:uid="{1C6FDC17-84C4-4590-9A74-CAE85B196B14}" uniqueName="8" name="sex" queryTableFieldId="8" dataDxfId="1"/>
    <tableColumn id="9" xr3:uid="{05E875D4-205B-458C-9A0E-429525D625E8}" uniqueName="9" name="year" queryTableFieldId="9"/>
    <tableColumn id="10" xr3:uid="{527E80EA-F76C-40AB-897C-1A95B20ABF53}" uniqueName="10" name="calc_bill" queryTableFieldId="10" dataDxfId="0">
      <calculatedColumnFormula>penglings[[#This Row],[bill_length_mm]]/2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6B9E-A0B0-42BD-B43D-955EBF9AC474}">
  <dimension ref="A1:N345"/>
  <sheetViews>
    <sheetView workbookViewId="0">
      <selection activeCell="E7" sqref="E7"/>
    </sheetView>
  </sheetViews>
  <sheetFormatPr defaultRowHeight="14.4" x14ac:dyDescent="0.3"/>
  <cols>
    <col min="1" max="1" width="10.77734375" bestFit="1" customWidth="1"/>
    <col min="2" max="2" width="9.21875" bestFit="1" customWidth="1"/>
    <col min="3" max="3" width="9.109375" bestFit="1" customWidth="1"/>
    <col min="4" max="4" width="16.44140625" style="2" bestFit="1" customWidth="1"/>
    <col min="5" max="5" width="16.109375" style="2" bestFit="1" customWidth="1"/>
    <col min="6" max="6" width="19.5546875" style="2" bestFit="1" customWidth="1"/>
    <col min="7" max="7" width="14.77734375" style="2" bestFit="1" customWidth="1"/>
    <col min="8" max="8" width="6.6640625" bestFit="1" customWidth="1"/>
    <col min="9" max="9" width="6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18</v>
      </c>
    </row>
    <row r="2" spans="1:14" x14ac:dyDescent="0.3">
      <c r="A2">
        <v>1</v>
      </c>
      <c r="B2" s="1" t="s">
        <v>9</v>
      </c>
      <c r="C2" s="1" t="s">
        <v>10</v>
      </c>
      <c r="D2" s="2">
        <v>39.1</v>
      </c>
      <c r="E2" s="2">
        <v>18.7</v>
      </c>
      <c r="F2" s="2">
        <v>181</v>
      </c>
      <c r="G2" s="2">
        <v>3750</v>
      </c>
      <c r="H2" s="1" t="s">
        <v>11</v>
      </c>
      <c r="I2">
        <v>2007</v>
      </c>
      <c r="J2" s="1">
        <f>penglings[[#This Row],[bill_length_mm]]/2</f>
        <v>19.55</v>
      </c>
      <c r="K2" s="2"/>
    </row>
    <row r="3" spans="1:14" x14ac:dyDescent="0.3">
      <c r="A3">
        <v>2</v>
      </c>
      <c r="B3" s="1" t="s">
        <v>9</v>
      </c>
      <c r="C3" s="1" t="s">
        <v>10</v>
      </c>
      <c r="D3" s="2">
        <v>39.5</v>
      </c>
      <c r="E3" s="2">
        <v>17.399999999999999</v>
      </c>
      <c r="F3" s="2">
        <v>186</v>
      </c>
      <c r="G3" s="2">
        <v>3800</v>
      </c>
      <c r="H3" s="1" t="s">
        <v>12</v>
      </c>
      <c r="I3">
        <v>2007</v>
      </c>
      <c r="J3" s="1">
        <f>penglings[[#This Row],[bill_length_mm]]/2</f>
        <v>19.75</v>
      </c>
    </row>
    <row r="4" spans="1:14" x14ac:dyDescent="0.3">
      <c r="A4">
        <v>3</v>
      </c>
      <c r="B4" s="1" t="s">
        <v>9</v>
      </c>
      <c r="C4" s="1" t="s">
        <v>10</v>
      </c>
      <c r="D4" s="2">
        <v>40.299999999999997</v>
      </c>
      <c r="E4" s="2">
        <v>18</v>
      </c>
      <c r="F4" s="2">
        <v>195</v>
      </c>
      <c r="G4" s="2">
        <v>3250</v>
      </c>
      <c r="H4" s="1" t="s">
        <v>12</v>
      </c>
      <c r="I4">
        <v>2007</v>
      </c>
      <c r="J4" s="1">
        <f>penglings[[#This Row],[bill_length_mm]]/2</f>
        <v>20.149999999999999</v>
      </c>
    </row>
    <row r="5" spans="1:14" hidden="1" x14ac:dyDescent="0.3">
      <c r="A5">
        <v>4</v>
      </c>
      <c r="B5" s="1" t="s">
        <v>9</v>
      </c>
      <c r="C5" s="1" t="s">
        <v>10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>
        <v>2007</v>
      </c>
      <c r="J5" s="1" t="e">
        <f>penglings[[#This Row],[bill_length_mm]]/2</f>
        <v>#VALUE!</v>
      </c>
    </row>
    <row r="6" spans="1:14" x14ac:dyDescent="0.3">
      <c r="A6">
        <v>5</v>
      </c>
      <c r="B6" s="1" t="s">
        <v>9</v>
      </c>
      <c r="C6" s="1" t="s">
        <v>10</v>
      </c>
      <c r="D6" s="2">
        <v>36.700000000000003</v>
      </c>
      <c r="E6" s="2">
        <v>19.3</v>
      </c>
      <c r="F6" s="2">
        <v>193</v>
      </c>
      <c r="G6" s="2">
        <v>3450</v>
      </c>
      <c r="H6" s="1" t="s">
        <v>12</v>
      </c>
      <c r="I6">
        <v>2007</v>
      </c>
      <c r="J6" s="1">
        <f>penglings[[#This Row],[bill_length_mm]]/2</f>
        <v>18.350000000000001</v>
      </c>
    </row>
    <row r="7" spans="1:14" x14ac:dyDescent="0.3">
      <c r="A7">
        <v>6</v>
      </c>
      <c r="B7" s="1" t="s">
        <v>9</v>
      </c>
      <c r="C7" s="1" t="s">
        <v>10</v>
      </c>
      <c r="D7" s="2">
        <v>39.299999999999997</v>
      </c>
      <c r="E7" s="2">
        <v>20.6</v>
      </c>
      <c r="F7" s="2">
        <v>190</v>
      </c>
      <c r="G7" s="2">
        <v>3650</v>
      </c>
      <c r="H7" s="1" t="s">
        <v>11</v>
      </c>
      <c r="I7">
        <v>2007</v>
      </c>
      <c r="J7" s="1">
        <f>penglings[[#This Row],[bill_length_mm]]/2</f>
        <v>19.649999999999999</v>
      </c>
      <c r="N7" s="3">
        <f>IF(penglings[[#This Row],[bill_length_mm]]&lt;=40, 1, 2)</f>
        <v>1</v>
      </c>
    </row>
    <row r="8" spans="1:14" x14ac:dyDescent="0.3">
      <c r="A8">
        <v>7</v>
      </c>
      <c r="B8" s="1" t="s">
        <v>9</v>
      </c>
      <c r="C8" s="1" t="s">
        <v>10</v>
      </c>
      <c r="D8" s="2">
        <v>38.9</v>
      </c>
      <c r="E8" s="2">
        <v>17.8</v>
      </c>
      <c r="F8" s="2">
        <v>181</v>
      </c>
      <c r="G8" s="2">
        <v>3625</v>
      </c>
      <c r="H8" s="1" t="s">
        <v>12</v>
      </c>
      <c r="I8">
        <v>2007</v>
      </c>
      <c r="J8" s="1">
        <f>penglings[[#This Row],[bill_length_mm]]/2</f>
        <v>19.45</v>
      </c>
    </row>
    <row r="9" spans="1:14" x14ac:dyDescent="0.3">
      <c r="A9">
        <v>8</v>
      </c>
      <c r="B9" s="1" t="s">
        <v>9</v>
      </c>
      <c r="C9" s="1" t="s">
        <v>10</v>
      </c>
      <c r="D9" s="2">
        <v>39.200000000000003</v>
      </c>
      <c r="E9" s="2">
        <v>19.600000000000001</v>
      </c>
      <c r="F9" s="2">
        <v>195</v>
      </c>
      <c r="G9" s="2">
        <v>4675</v>
      </c>
      <c r="H9" s="1" t="s">
        <v>11</v>
      </c>
      <c r="I9">
        <v>2007</v>
      </c>
      <c r="J9" s="1">
        <f>penglings[[#This Row],[bill_length_mm]]/2</f>
        <v>19.600000000000001</v>
      </c>
    </row>
    <row r="10" spans="1:14" x14ac:dyDescent="0.3">
      <c r="A10">
        <v>9</v>
      </c>
      <c r="B10" s="1" t="s">
        <v>9</v>
      </c>
      <c r="C10" s="1" t="s">
        <v>10</v>
      </c>
      <c r="D10" s="2">
        <v>34.1</v>
      </c>
      <c r="E10" s="2">
        <v>18.100000000000001</v>
      </c>
      <c r="F10" s="2">
        <v>193</v>
      </c>
      <c r="G10" s="2">
        <v>3475</v>
      </c>
      <c r="H10" s="1" t="s">
        <v>13</v>
      </c>
      <c r="I10">
        <v>2007</v>
      </c>
      <c r="J10" s="1">
        <f>penglings[[#This Row],[bill_length_mm]]/2</f>
        <v>17.05</v>
      </c>
    </row>
    <row r="11" spans="1:14" x14ac:dyDescent="0.3">
      <c r="A11">
        <v>10</v>
      </c>
      <c r="B11" s="1" t="s">
        <v>9</v>
      </c>
      <c r="C11" s="1" t="s">
        <v>10</v>
      </c>
      <c r="D11" s="2">
        <v>42</v>
      </c>
      <c r="E11" s="2">
        <v>20.2</v>
      </c>
      <c r="F11" s="2">
        <v>190</v>
      </c>
      <c r="G11" s="2">
        <v>4250</v>
      </c>
      <c r="H11" s="1" t="s">
        <v>13</v>
      </c>
      <c r="I11">
        <v>2007</v>
      </c>
      <c r="J11" s="1">
        <f>penglings[[#This Row],[bill_length_mm]]/2</f>
        <v>21</v>
      </c>
    </row>
    <row r="12" spans="1:14" x14ac:dyDescent="0.3">
      <c r="A12">
        <v>11</v>
      </c>
      <c r="B12" s="1" t="s">
        <v>9</v>
      </c>
      <c r="C12" s="1" t="s">
        <v>10</v>
      </c>
      <c r="D12" s="2">
        <v>37.799999999999997</v>
      </c>
      <c r="E12" s="2">
        <v>17.100000000000001</v>
      </c>
      <c r="F12" s="2">
        <v>186</v>
      </c>
      <c r="G12" s="2">
        <v>3300</v>
      </c>
      <c r="H12" s="1" t="s">
        <v>13</v>
      </c>
      <c r="I12">
        <v>2007</v>
      </c>
      <c r="J12" s="1">
        <f>penglings[[#This Row],[bill_length_mm]]/2</f>
        <v>18.899999999999999</v>
      </c>
    </row>
    <row r="13" spans="1:14" x14ac:dyDescent="0.3">
      <c r="A13">
        <v>12</v>
      </c>
      <c r="B13" s="1" t="s">
        <v>9</v>
      </c>
      <c r="C13" s="1" t="s">
        <v>10</v>
      </c>
      <c r="D13" s="2">
        <v>37.799999999999997</v>
      </c>
      <c r="E13" s="2">
        <v>17.3</v>
      </c>
      <c r="F13" s="2">
        <v>180</v>
      </c>
      <c r="G13" s="2">
        <v>3700</v>
      </c>
      <c r="H13" s="1" t="s">
        <v>13</v>
      </c>
      <c r="I13">
        <v>2007</v>
      </c>
      <c r="J13" s="1">
        <f>penglings[[#This Row],[bill_length_mm]]/2</f>
        <v>18.899999999999999</v>
      </c>
    </row>
    <row r="14" spans="1:14" x14ac:dyDescent="0.3">
      <c r="A14">
        <v>13</v>
      </c>
      <c r="B14" s="1" t="s">
        <v>9</v>
      </c>
      <c r="C14" s="1" t="s">
        <v>10</v>
      </c>
      <c r="D14" s="2">
        <v>41.1</v>
      </c>
      <c r="E14" s="2">
        <v>17.600000000000001</v>
      </c>
      <c r="F14" s="2">
        <v>182</v>
      </c>
      <c r="G14" s="2">
        <v>3200</v>
      </c>
      <c r="H14" s="1" t="s">
        <v>12</v>
      </c>
      <c r="I14">
        <v>2007</v>
      </c>
      <c r="J14" s="1">
        <f>penglings[[#This Row],[bill_length_mm]]/2</f>
        <v>20.55</v>
      </c>
    </row>
    <row r="15" spans="1:14" x14ac:dyDescent="0.3">
      <c r="A15">
        <v>14</v>
      </c>
      <c r="B15" s="1" t="s">
        <v>9</v>
      </c>
      <c r="C15" s="1" t="s">
        <v>10</v>
      </c>
      <c r="D15" s="2">
        <v>38.6</v>
      </c>
      <c r="E15" s="2">
        <v>21.2</v>
      </c>
      <c r="F15" s="2">
        <v>191</v>
      </c>
      <c r="G15" s="2">
        <v>3800</v>
      </c>
      <c r="H15" s="1" t="s">
        <v>11</v>
      </c>
      <c r="I15">
        <v>2007</v>
      </c>
      <c r="J15" s="1">
        <f>penglings[[#This Row],[bill_length_mm]]/2</f>
        <v>19.3</v>
      </c>
    </row>
    <row r="16" spans="1:14" x14ac:dyDescent="0.3">
      <c r="A16">
        <v>15</v>
      </c>
      <c r="B16" s="1" t="s">
        <v>9</v>
      </c>
      <c r="C16" s="1" t="s">
        <v>10</v>
      </c>
      <c r="D16" s="2">
        <v>34.6</v>
      </c>
      <c r="E16" s="2">
        <v>21.1</v>
      </c>
      <c r="F16" s="2">
        <v>198</v>
      </c>
      <c r="G16" s="2">
        <v>4400</v>
      </c>
      <c r="H16" s="1" t="s">
        <v>11</v>
      </c>
      <c r="I16">
        <v>2007</v>
      </c>
      <c r="J16" s="1">
        <f>penglings[[#This Row],[bill_length_mm]]/2</f>
        <v>17.3</v>
      </c>
    </row>
    <row r="17" spans="1:10" x14ac:dyDescent="0.3">
      <c r="A17">
        <v>16</v>
      </c>
      <c r="B17" s="1" t="s">
        <v>9</v>
      </c>
      <c r="C17" s="1" t="s">
        <v>10</v>
      </c>
      <c r="D17" s="2">
        <v>36.6</v>
      </c>
      <c r="E17" s="2">
        <v>17.8</v>
      </c>
      <c r="F17" s="2">
        <v>185</v>
      </c>
      <c r="G17" s="2">
        <v>3700</v>
      </c>
      <c r="H17" s="1" t="s">
        <v>12</v>
      </c>
      <c r="I17">
        <v>2007</v>
      </c>
      <c r="J17" s="1">
        <f>penglings[[#This Row],[bill_length_mm]]/2</f>
        <v>18.3</v>
      </c>
    </row>
    <row r="18" spans="1:10" x14ac:dyDescent="0.3">
      <c r="A18">
        <v>17</v>
      </c>
      <c r="B18" s="1" t="s">
        <v>9</v>
      </c>
      <c r="C18" s="1" t="s">
        <v>10</v>
      </c>
      <c r="D18" s="2">
        <v>38.700000000000003</v>
      </c>
      <c r="E18" s="2">
        <v>19</v>
      </c>
      <c r="F18" s="2">
        <v>195</v>
      </c>
      <c r="G18" s="2">
        <v>3450</v>
      </c>
      <c r="H18" s="1" t="s">
        <v>12</v>
      </c>
      <c r="I18">
        <v>2007</v>
      </c>
      <c r="J18" s="1">
        <f>penglings[[#This Row],[bill_length_mm]]/2</f>
        <v>19.350000000000001</v>
      </c>
    </row>
    <row r="19" spans="1:10" x14ac:dyDescent="0.3">
      <c r="A19">
        <v>18</v>
      </c>
      <c r="B19" s="1" t="s">
        <v>9</v>
      </c>
      <c r="C19" s="1" t="s">
        <v>10</v>
      </c>
      <c r="D19" s="2">
        <v>42.5</v>
      </c>
      <c r="E19" s="2">
        <v>20.7</v>
      </c>
      <c r="F19" s="2">
        <v>197</v>
      </c>
      <c r="G19" s="2">
        <v>4500</v>
      </c>
      <c r="H19" s="1" t="s">
        <v>11</v>
      </c>
      <c r="I19">
        <v>2007</v>
      </c>
      <c r="J19" s="1">
        <f>penglings[[#This Row],[bill_length_mm]]/2</f>
        <v>21.25</v>
      </c>
    </row>
    <row r="20" spans="1:10" x14ac:dyDescent="0.3">
      <c r="A20">
        <v>19</v>
      </c>
      <c r="B20" s="1" t="s">
        <v>9</v>
      </c>
      <c r="C20" s="1" t="s">
        <v>10</v>
      </c>
      <c r="D20" s="2">
        <v>34.4</v>
      </c>
      <c r="E20" s="2">
        <v>18.399999999999999</v>
      </c>
      <c r="F20" s="2">
        <v>184</v>
      </c>
      <c r="G20" s="2">
        <v>3325</v>
      </c>
      <c r="H20" s="1" t="s">
        <v>12</v>
      </c>
      <c r="I20">
        <v>2007</v>
      </c>
      <c r="J20" s="1">
        <f>penglings[[#This Row],[bill_length_mm]]/2</f>
        <v>17.2</v>
      </c>
    </row>
    <row r="21" spans="1:10" x14ac:dyDescent="0.3">
      <c r="A21">
        <v>20</v>
      </c>
      <c r="B21" s="1" t="s">
        <v>9</v>
      </c>
      <c r="C21" s="1" t="s">
        <v>10</v>
      </c>
      <c r="D21" s="2">
        <v>46</v>
      </c>
      <c r="E21" s="2">
        <v>21.5</v>
      </c>
      <c r="F21" s="2">
        <v>194</v>
      </c>
      <c r="G21" s="2">
        <v>4200</v>
      </c>
      <c r="H21" s="1" t="s">
        <v>11</v>
      </c>
      <c r="I21">
        <v>2007</v>
      </c>
      <c r="J21" s="1">
        <f>penglings[[#This Row],[bill_length_mm]]/2</f>
        <v>23</v>
      </c>
    </row>
    <row r="22" spans="1:10" x14ac:dyDescent="0.3">
      <c r="A22">
        <v>21</v>
      </c>
      <c r="B22" s="1" t="s">
        <v>9</v>
      </c>
      <c r="C22" s="1" t="s">
        <v>14</v>
      </c>
      <c r="D22" s="2">
        <v>37.799999999999997</v>
      </c>
      <c r="E22" s="2">
        <v>18.3</v>
      </c>
      <c r="F22" s="2">
        <v>174</v>
      </c>
      <c r="G22" s="2">
        <v>3400</v>
      </c>
      <c r="H22" s="1" t="s">
        <v>12</v>
      </c>
      <c r="I22">
        <v>2007</v>
      </c>
      <c r="J22" s="1">
        <f>penglings[[#This Row],[bill_length_mm]]/2</f>
        <v>18.899999999999999</v>
      </c>
    </row>
    <row r="23" spans="1:10" x14ac:dyDescent="0.3">
      <c r="A23">
        <v>22</v>
      </c>
      <c r="B23" s="1" t="s">
        <v>9</v>
      </c>
      <c r="C23" s="1" t="s">
        <v>14</v>
      </c>
      <c r="D23" s="2">
        <v>37.700000000000003</v>
      </c>
      <c r="E23" s="2">
        <v>18.7</v>
      </c>
      <c r="F23" s="2">
        <v>180</v>
      </c>
      <c r="G23" s="2">
        <v>3600</v>
      </c>
      <c r="H23" s="1" t="s">
        <v>11</v>
      </c>
      <c r="I23">
        <v>2007</v>
      </c>
      <c r="J23" s="1">
        <f>penglings[[#This Row],[bill_length_mm]]/2</f>
        <v>18.850000000000001</v>
      </c>
    </row>
    <row r="24" spans="1:10" x14ac:dyDescent="0.3">
      <c r="A24">
        <v>23</v>
      </c>
      <c r="B24" s="1" t="s">
        <v>9</v>
      </c>
      <c r="C24" s="1" t="s">
        <v>14</v>
      </c>
      <c r="D24" s="2">
        <v>35.9</v>
      </c>
      <c r="E24" s="2">
        <v>19.2</v>
      </c>
      <c r="F24" s="2">
        <v>189</v>
      </c>
      <c r="G24" s="2">
        <v>3800</v>
      </c>
      <c r="H24" s="1" t="s">
        <v>12</v>
      </c>
      <c r="I24">
        <v>2007</v>
      </c>
      <c r="J24" s="1">
        <f>penglings[[#This Row],[bill_length_mm]]/2</f>
        <v>17.95</v>
      </c>
    </row>
    <row r="25" spans="1:10" x14ac:dyDescent="0.3">
      <c r="A25">
        <v>24</v>
      </c>
      <c r="B25" s="1" t="s">
        <v>9</v>
      </c>
      <c r="C25" s="1" t="s">
        <v>14</v>
      </c>
      <c r="D25" s="2">
        <v>38.200000000000003</v>
      </c>
      <c r="E25" s="2">
        <v>18.100000000000001</v>
      </c>
      <c r="F25" s="2">
        <v>185</v>
      </c>
      <c r="G25" s="2">
        <v>3950</v>
      </c>
      <c r="H25" s="1" t="s">
        <v>11</v>
      </c>
      <c r="I25">
        <v>2007</v>
      </c>
      <c r="J25" s="1">
        <f>penglings[[#This Row],[bill_length_mm]]/2</f>
        <v>19.100000000000001</v>
      </c>
    </row>
    <row r="26" spans="1:10" x14ac:dyDescent="0.3">
      <c r="A26">
        <v>25</v>
      </c>
      <c r="B26" s="1" t="s">
        <v>9</v>
      </c>
      <c r="C26" s="1" t="s">
        <v>14</v>
      </c>
      <c r="D26" s="2">
        <v>38.799999999999997</v>
      </c>
      <c r="E26" s="2">
        <v>17.2</v>
      </c>
      <c r="F26" s="2">
        <v>180</v>
      </c>
      <c r="G26" s="2">
        <v>3800</v>
      </c>
      <c r="H26" s="1" t="s">
        <v>11</v>
      </c>
      <c r="I26">
        <v>2007</v>
      </c>
      <c r="J26" s="1">
        <f>penglings[[#This Row],[bill_length_mm]]/2</f>
        <v>19.399999999999999</v>
      </c>
    </row>
    <row r="27" spans="1:10" x14ac:dyDescent="0.3">
      <c r="A27">
        <v>26</v>
      </c>
      <c r="B27" s="1" t="s">
        <v>9</v>
      </c>
      <c r="C27" s="1" t="s">
        <v>14</v>
      </c>
      <c r="D27" s="2">
        <v>35.299999999999997</v>
      </c>
      <c r="E27" s="2">
        <v>18.899999999999999</v>
      </c>
      <c r="F27" s="2">
        <v>187</v>
      </c>
      <c r="G27" s="2">
        <v>3800</v>
      </c>
      <c r="H27" s="1" t="s">
        <v>12</v>
      </c>
      <c r="I27">
        <v>2007</v>
      </c>
      <c r="J27" s="1">
        <f>penglings[[#This Row],[bill_length_mm]]/2</f>
        <v>17.649999999999999</v>
      </c>
    </row>
    <row r="28" spans="1:10" x14ac:dyDescent="0.3">
      <c r="A28">
        <v>27</v>
      </c>
      <c r="B28" s="1" t="s">
        <v>9</v>
      </c>
      <c r="C28" s="1" t="s">
        <v>14</v>
      </c>
      <c r="D28" s="2">
        <v>40.6</v>
      </c>
      <c r="E28" s="2">
        <v>18.600000000000001</v>
      </c>
      <c r="F28" s="2">
        <v>183</v>
      </c>
      <c r="G28" s="2">
        <v>3550</v>
      </c>
      <c r="H28" s="1" t="s">
        <v>11</v>
      </c>
      <c r="I28">
        <v>2007</v>
      </c>
      <c r="J28" s="1">
        <f>penglings[[#This Row],[bill_length_mm]]/2</f>
        <v>20.3</v>
      </c>
    </row>
    <row r="29" spans="1:10" x14ac:dyDescent="0.3">
      <c r="A29">
        <v>28</v>
      </c>
      <c r="B29" s="1" t="s">
        <v>9</v>
      </c>
      <c r="C29" s="1" t="s">
        <v>14</v>
      </c>
      <c r="D29" s="2">
        <v>40.5</v>
      </c>
      <c r="E29" s="2">
        <v>17.899999999999999</v>
      </c>
      <c r="F29" s="2">
        <v>187</v>
      </c>
      <c r="G29" s="2">
        <v>3200</v>
      </c>
      <c r="H29" s="1" t="s">
        <v>12</v>
      </c>
      <c r="I29">
        <v>2007</v>
      </c>
      <c r="J29" s="1">
        <f>penglings[[#This Row],[bill_length_mm]]/2</f>
        <v>20.25</v>
      </c>
    </row>
    <row r="30" spans="1:10" x14ac:dyDescent="0.3">
      <c r="A30">
        <v>29</v>
      </c>
      <c r="B30" s="1" t="s">
        <v>9</v>
      </c>
      <c r="C30" s="1" t="s">
        <v>14</v>
      </c>
      <c r="D30" s="2">
        <v>37.9</v>
      </c>
      <c r="E30" s="2">
        <v>18.600000000000001</v>
      </c>
      <c r="F30" s="2">
        <v>172</v>
      </c>
      <c r="G30" s="2">
        <v>3150</v>
      </c>
      <c r="H30" s="1" t="s">
        <v>12</v>
      </c>
      <c r="I30">
        <v>2007</v>
      </c>
      <c r="J30" s="1">
        <f>penglings[[#This Row],[bill_length_mm]]/2</f>
        <v>18.95</v>
      </c>
    </row>
    <row r="31" spans="1:10" x14ac:dyDescent="0.3">
      <c r="A31">
        <v>30</v>
      </c>
      <c r="B31" s="1" t="s">
        <v>9</v>
      </c>
      <c r="C31" s="1" t="s">
        <v>14</v>
      </c>
      <c r="D31" s="2">
        <v>40.5</v>
      </c>
      <c r="E31" s="2">
        <v>18.899999999999999</v>
      </c>
      <c r="F31" s="2">
        <v>180</v>
      </c>
      <c r="G31" s="2">
        <v>3950</v>
      </c>
      <c r="H31" s="1" t="s">
        <v>11</v>
      </c>
      <c r="I31">
        <v>2007</v>
      </c>
      <c r="J31" s="1">
        <f>penglings[[#This Row],[bill_length_mm]]/2</f>
        <v>20.25</v>
      </c>
    </row>
    <row r="32" spans="1:10" x14ac:dyDescent="0.3">
      <c r="A32">
        <v>31</v>
      </c>
      <c r="B32" s="1" t="s">
        <v>9</v>
      </c>
      <c r="C32" s="1" t="s">
        <v>15</v>
      </c>
      <c r="D32" s="2">
        <v>39.5</v>
      </c>
      <c r="E32" s="2">
        <v>16.7</v>
      </c>
      <c r="F32" s="2">
        <v>178</v>
      </c>
      <c r="G32" s="2">
        <v>3250</v>
      </c>
      <c r="H32" s="1" t="s">
        <v>12</v>
      </c>
      <c r="I32">
        <v>2007</v>
      </c>
      <c r="J32" s="1">
        <f>penglings[[#This Row],[bill_length_mm]]/2</f>
        <v>19.75</v>
      </c>
    </row>
    <row r="33" spans="1:10" x14ac:dyDescent="0.3">
      <c r="A33">
        <v>32</v>
      </c>
      <c r="B33" s="1" t="s">
        <v>9</v>
      </c>
      <c r="C33" s="1" t="s">
        <v>15</v>
      </c>
      <c r="D33" s="2">
        <v>37.200000000000003</v>
      </c>
      <c r="E33" s="2">
        <v>18.100000000000001</v>
      </c>
      <c r="F33" s="2">
        <v>178</v>
      </c>
      <c r="G33" s="2">
        <v>3900</v>
      </c>
      <c r="H33" s="1" t="s">
        <v>11</v>
      </c>
      <c r="I33">
        <v>2007</v>
      </c>
      <c r="J33" s="1">
        <f>penglings[[#This Row],[bill_length_mm]]/2</f>
        <v>18.600000000000001</v>
      </c>
    </row>
    <row r="34" spans="1:10" x14ac:dyDescent="0.3">
      <c r="A34">
        <v>33</v>
      </c>
      <c r="B34" s="1" t="s">
        <v>9</v>
      </c>
      <c r="C34" s="1" t="s">
        <v>15</v>
      </c>
      <c r="D34" s="2">
        <v>39.5</v>
      </c>
      <c r="E34" s="2">
        <v>17.8</v>
      </c>
      <c r="F34" s="2">
        <v>188</v>
      </c>
      <c r="G34" s="2">
        <v>3300</v>
      </c>
      <c r="H34" s="1" t="s">
        <v>12</v>
      </c>
      <c r="I34">
        <v>2007</v>
      </c>
      <c r="J34" s="1">
        <f>penglings[[#This Row],[bill_length_mm]]/2</f>
        <v>19.75</v>
      </c>
    </row>
    <row r="35" spans="1:10" x14ac:dyDescent="0.3">
      <c r="A35">
        <v>34</v>
      </c>
      <c r="B35" s="1" t="s">
        <v>9</v>
      </c>
      <c r="C35" s="1" t="s">
        <v>15</v>
      </c>
      <c r="D35" s="2">
        <v>40.9</v>
      </c>
      <c r="E35" s="2">
        <v>18.899999999999999</v>
      </c>
      <c r="F35" s="2">
        <v>184</v>
      </c>
      <c r="G35" s="2">
        <v>3900</v>
      </c>
      <c r="H35" s="1" t="s">
        <v>11</v>
      </c>
      <c r="I35">
        <v>2007</v>
      </c>
      <c r="J35" s="1">
        <f>penglings[[#This Row],[bill_length_mm]]/2</f>
        <v>20.45</v>
      </c>
    </row>
    <row r="36" spans="1:10" x14ac:dyDescent="0.3">
      <c r="A36">
        <v>35</v>
      </c>
      <c r="B36" s="1" t="s">
        <v>9</v>
      </c>
      <c r="C36" s="1" t="s">
        <v>15</v>
      </c>
      <c r="D36" s="2">
        <v>36.4</v>
      </c>
      <c r="E36" s="2">
        <v>17</v>
      </c>
      <c r="F36" s="2">
        <v>195</v>
      </c>
      <c r="G36" s="2">
        <v>3325</v>
      </c>
      <c r="H36" s="1" t="s">
        <v>12</v>
      </c>
      <c r="I36">
        <v>2007</v>
      </c>
      <c r="J36" s="1">
        <f>penglings[[#This Row],[bill_length_mm]]/2</f>
        <v>18.2</v>
      </c>
    </row>
    <row r="37" spans="1:10" x14ac:dyDescent="0.3">
      <c r="A37">
        <v>36</v>
      </c>
      <c r="B37" s="1" t="s">
        <v>9</v>
      </c>
      <c r="C37" s="1" t="s">
        <v>15</v>
      </c>
      <c r="D37" s="2">
        <v>39.200000000000003</v>
      </c>
      <c r="E37" s="2">
        <v>21.1</v>
      </c>
      <c r="F37" s="2">
        <v>196</v>
      </c>
      <c r="G37" s="2">
        <v>4150</v>
      </c>
      <c r="H37" s="1" t="s">
        <v>11</v>
      </c>
      <c r="I37">
        <v>2007</v>
      </c>
      <c r="J37" s="1">
        <f>penglings[[#This Row],[bill_length_mm]]/2</f>
        <v>19.600000000000001</v>
      </c>
    </row>
    <row r="38" spans="1:10" x14ac:dyDescent="0.3">
      <c r="A38">
        <v>37</v>
      </c>
      <c r="B38" s="1" t="s">
        <v>9</v>
      </c>
      <c r="C38" s="1" t="s">
        <v>15</v>
      </c>
      <c r="D38" s="2">
        <v>38.799999999999997</v>
      </c>
      <c r="E38" s="2">
        <v>20</v>
      </c>
      <c r="F38" s="2">
        <v>190</v>
      </c>
      <c r="G38" s="2">
        <v>3950</v>
      </c>
      <c r="H38" s="1" t="s">
        <v>11</v>
      </c>
      <c r="I38">
        <v>2007</v>
      </c>
      <c r="J38" s="1">
        <f>penglings[[#This Row],[bill_length_mm]]/2</f>
        <v>19.399999999999999</v>
      </c>
    </row>
    <row r="39" spans="1:10" x14ac:dyDescent="0.3">
      <c r="A39">
        <v>38</v>
      </c>
      <c r="B39" s="1" t="s">
        <v>9</v>
      </c>
      <c r="C39" s="1" t="s">
        <v>15</v>
      </c>
      <c r="D39" s="2">
        <v>42.2</v>
      </c>
      <c r="E39" s="2">
        <v>18.5</v>
      </c>
      <c r="F39" s="2">
        <v>180</v>
      </c>
      <c r="G39" s="2">
        <v>3550</v>
      </c>
      <c r="H39" s="1" t="s">
        <v>12</v>
      </c>
      <c r="I39">
        <v>2007</v>
      </c>
      <c r="J39" s="1">
        <f>penglings[[#This Row],[bill_length_mm]]/2</f>
        <v>21.1</v>
      </c>
    </row>
    <row r="40" spans="1:10" x14ac:dyDescent="0.3">
      <c r="A40">
        <v>39</v>
      </c>
      <c r="B40" s="1" t="s">
        <v>9</v>
      </c>
      <c r="C40" s="1" t="s">
        <v>15</v>
      </c>
      <c r="D40" s="2">
        <v>37.6</v>
      </c>
      <c r="E40" s="2">
        <v>19.3</v>
      </c>
      <c r="F40" s="2">
        <v>181</v>
      </c>
      <c r="G40" s="2">
        <v>3300</v>
      </c>
      <c r="H40" s="1" t="s">
        <v>12</v>
      </c>
      <c r="I40">
        <v>2007</v>
      </c>
      <c r="J40" s="1">
        <f>penglings[[#This Row],[bill_length_mm]]/2</f>
        <v>18.8</v>
      </c>
    </row>
    <row r="41" spans="1:10" x14ac:dyDescent="0.3">
      <c r="A41">
        <v>40</v>
      </c>
      <c r="B41" s="1" t="s">
        <v>9</v>
      </c>
      <c r="C41" s="1" t="s">
        <v>15</v>
      </c>
      <c r="D41" s="2">
        <v>39.799999999999997</v>
      </c>
      <c r="E41" s="2">
        <v>19.100000000000001</v>
      </c>
      <c r="F41" s="2">
        <v>184</v>
      </c>
      <c r="G41" s="2">
        <v>4650</v>
      </c>
      <c r="H41" s="1" t="s">
        <v>11</v>
      </c>
      <c r="I41">
        <v>2007</v>
      </c>
      <c r="J41" s="1">
        <f>penglings[[#This Row],[bill_length_mm]]/2</f>
        <v>19.899999999999999</v>
      </c>
    </row>
    <row r="42" spans="1:10" x14ac:dyDescent="0.3">
      <c r="A42">
        <v>41</v>
      </c>
      <c r="B42" s="1" t="s">
        <v>9</v>
      </c>
      <c r="C42" s="1" t="s">
        <v>15</v>
      </c>
      <c r="D42" s="2">
        <v>36.5</v>
      </c>
      <c r="E42" s="2">
        <v>18</v>
      </c>
      <c r="F42" s="2">
        <v>182</v>
      </c>
      <c r="G42" s="2">
        <v>3150</v>
      </c>
      <c r="H42" s="1" t="s">
        <v>12</v>
      </c>
      <c r="I42">
        <v>2007</v>
      </c>
      <c r="J42" s="1">
        <f>penglings[[#This Row],[bill_length_mm]]/2</f>
        <v>18.25</v>
      </c>
    </row>
    <row r="43" spans="1:10" x14ac:dyDescent="0.3">
      <c r="A43">
        <v>42</v>
      </c>
      <c r="B43" s="1" t="s">
        <v>9</v>
      </c>
      <c r="C43" s="1" t="s">
        <v>15</v>
      </c>
      <c r="D43" s="2">
        <v>40.799999999999997</v>
      </c>
      <c r="E43" s="2">
        <v>18.399999999999999</v>
      </c>
      <c r="F43" s="2">
        <v>195</v>
      </c>
      <c r="G43" s="2">
        <v>3900</v>
      </c>
      <c r="H43" s="1" t="s">
        <v>11</v>
      </c>
      <c r="I43">
        <v>2007</v>
      </c>
      <c r="J43" s="1">
        <f>penglings[[#This Row],[bill_length_mm]]/2</f>
        <v>20.399999999999999</v>
      </c>
    </row>
    <row r="44" spans="1:10" x14ac:dyDescent="0.3">
      <c r="A44">
        <v>43</v>
      </c>
      <c r="B44" s="1" t="s">
        <v>9</v>
      </c>
      <c r="C44" s="1" t="s">
        <v>15</v>
      </c>
      <c r="D44" s="2">
        <v>36</v>
      </c>
      <c r="E44" s="2">
        <v>18.5</v>
      </c>
      <c r="F44" s="2">
        <v>186</v>
      </c>
      <c r="G44" s="2">
        <v>3100</v>
      </c>
      <c r="H44" s="1" t="s">
        <v>12</v>
      </c>
      <c r="I44">
        <v>2007</v>
      </c>
      <c r="J44" s="1">
        <f>penglings[[#This Row],[bill_length_mm]]/2</f>
        <v>18</v>
      </c>
    </row>
    <row r="45" spans="1:10" x14ac:dyDescent="0.3">
      <c r="A45">
        <v>44</v>
      </c>
      <c r="B45" s="1" t="s">
        <v>9</v>
      </c>
      <c r="C45" s="1" t="s">
        <v>15</v>
      </c>
      <c r="D45" s="2">
        <v>44.1</v>
      </c>
      <c r="E45" s="2">
        <v>19.7</v>
      </c>
      <c r="F45" s="2">
        <v>196</v>
      </c>
      <c r="G45" s="2">
        <v>4400</v>
      </c>
      <c r="H45" s="1" t="s">
        <v>11</v>
      </c>
      <c r="I45">
        <v>2007</v>
      </c>
      <c r="J45" s="1">
        <f>penglings[[#This Row],[bill_length_mm]]/2</f>
        <v>22.05</v>
      </c>
    </row>
    <row r="46" spans="1:10" x14ac:dyDescent="0.3">
      <c r="A46">
        <v>45</v>
      </c>
      <c r="B46" s="1" t="s">
        <v>9</v>
      </c>
      <c r="C46" s="1" t="s">
        <v>15</v>
      </c>
      <c r="D46" s="2">
        <v>37</v>
      </c>
      <c r="E46" s="2">
        <v>16.899999999999999</v>
      </c>
      <c r="F46" s="2">
        <v>185</v>
      </c>
      <c r="G46" s="2">
        <v>3000</v>
      </c>
      <c r="H46" s="1" t="s">
        <v>12</v>
      </c>
      <c r="I46">
        <v>2007</v>
      </c>
      <c r="J46" s="1">
        <f>penglings[[#This Row],[bill_length_mm]]/2</f>
        <v>18.5</v>
      </c>
    </row>
    <row r="47" spans="1:10" x14ac:dyDescent="0.3">
      <c r="A47">
        <v>46</v>
      </c>
      <c r="B47" s="1" t="s">
        <v>9</v>
      </c>
      <c r="C47" s="1" t="s">
        <v>15</v>
      </c>
      <c r="D47" s="2">
        <v>39.6</v>
      </c>
      <c r="E47" s="2">
        <v>18.8</v>
      </c>
      <c r="F47" s="2">
        <v>190</v>
      </c>
      <c r="G47" s="2">
        <v>4600</v>
      </c>
      <c r="H47" s="1" t="s">
        <v>11</v>
      </c>
      <c r="I47">
        <v>2007</v>
      </c>
      <c r="J47" s="1">
        <f>penglings[[#This Row],[bill_length_mm]]/2</f>
        <v>19.8</v>
      </c>
    </row>
    <row r="48" spans="1:10" x14ac:dyDescent="0.3">
      <c r="A48">
        <v>47</v>
      </c>
      <c r="B48" s="1" t="s">
        <v>9</v>
      </c>
      <c r="C48" s="1" t="s">
        <v>15</v>
      </c>
      <c r="D48" s="2">
        <v>41.1</v>
      </c>
      <c r="E48" s="2">
        <v>19</v>
      </c>
      <c r="F48" s="2">
        <v>182</v>
      </c>
      <c r="G48" s="2">
        <v>3425</v>
      </c>
      <c r="H48" s="1" t="s">
        <v>11</v>
      </c>
      <c r="I48">
        <v>2007</v>
      </c>
      <c r="J48" s="1">
        <f>penglings[[#This Row],[bill_length_mm]]/2</f>
        <v>20.55</v>
      </c>
    </row>
    <row r="49" spans="1:10" x14ac:dyDescent="0.3">
      <c r="A49">
        <v>48</v>
      </c>
      <c r="B49" s="1" t="s">
        <v>9</v>
      </c>
      <c r="C49" s="1" t="s">
        <v>15</v>
      </c>
      <c r="D49" s="2">
        <v>37.5</v>
      </c>
      <c r="E49" s="2">
        <v>18.899999999999999</v>
      </c>
      <c r="F49" s="2">
        <v>179</v>
      </c>
      <c r="G49" s="2">
        <v>2975</v>
      </c>
      <c r="H49" s="1" t="s">
        <v>13</v>
      </c>
      <c r="I49">
        <v>2007</v>
      </c>
      <c r="J49" s="1">
        <f>penglings[[#This Row],[bill_length_mm]]/2</f>
        <v>18.75</v>
      </c>
    </row>
    <row r="50" spans="1:10" x14ac:dyDescent="0.3">
      <c r="A50">
        <v>49</v>
      </c>
      <c r="B50" s="1" t="s">
        <v>9</v>
      </c>
      <c r="C50" s="1" t="s">
        <v>15</v>
      </c>
      <c r="D50" s="2">
        <v>36</v>
      </c>
      <c r="E50" s="2">
        <v>17.899999999999999</v>
      </c>
      <c r="F50" s="2">
        <v>190</v>
      </c>
      <c r="G50" s="2">
        <v>3450</v>
      </c>
      <c r="H50" s="1" t="s">
        <v>12</v>
      </c>
      <c r="I50">
        <v>2007</v>
      </c>
      <c r="J50" s="1">
        <f>penglings[[#This Row],[bill_length_mm]]/2</f>
        <v>18</v>
      </c>
    </row>
    <row r="51" spans="1:10" x14ac:dyDescent="0.3">
      <c r="A51">
        <v>50</v>
      </c>
      <c r="B51" s="1" t="s">
        <v>9</v>
      </c>
      <c r="C51" s="1" t="s">
        <v>15</v>
      </c>
      <c r="D51" s="2">
        <v>42.3</v>
      </c>
      <c r="E51" s="2">
        <v>21.2</v>
      </c>
      <c r="F51" s="2">
        <v>191</v>
      </c>
      <c r="G51" s="2">
        <v>4150</v>
      </c>
      <c r="H51" s="1" t="s">
        <v>11</v>
      </c>
      <c r="I51">
        <v>2007</v>
      </c>
      <c r="J51" s="1">
        <f>penglings[[#This Row],[bill_length_mm]]/2</f>
        <v>21.15</v>
      </c>
    </row>
    <row r="52" spans="1:10" x14ac:dyDescent="0.3">
      <c r="A52">
        <v>51</v>
      </c>
      <c r="B52" s="1" t="s">
        <v>9</v>
      </c>
      <c r="C52" s="1" t="s">
        <v>14</v>
      </c>
      <c r="D52" s="2">
        <v>39.6</v>
      </c>
      <c r="E52" s="2">
        <v>17.7</v>
      </c>
      <c r="F52" s="2">
        <v>186</v>
      </c>
      <c r="G52" s="2">
        <v>3500</v>
      </c>
      <c r="H52" s="1" t="s">
        <v>12</v>
      </c>
      <c r="I52">
        <v>2008</v>
      </c>
      <c r="J52" s="1">
        <f>penglings[[#This Row],[bill_length_mm]]/2</f>
        <v>19.8</v>
      </c>
    </row>
    <row r="53" spans="1:10" x14ac:dyDescent="0.3">
      <c r="A53">
        <v>52</v>
      </c>
      <c r="B53" s="1" t="s">
        <v>9</v>
      </c>
      <c r="C53" s="1" t="s">
        <v>14</v>
      </c>
      <c r="D53" s="2">
        <v>40.1</v>
      </c>
      <c r="E53" s="2">
        <v>18.899999999999999</v>
      </c>
      <c r="F53" s="2">
        <v>188</v>
      </c>
      <c r="G53" s="2">
        <v>4300</v>
      </c>
      <c r="H53" s="1" t="s">
        <v>11</v>
      </c>
      <c r="I53">
        <v>2008</v>
      </c>
      <c r="J53" s="1">
        <f>penglings[[#This Row],[bill_length_mm]]/2</f>
        <v>20.05</v>
      </c>
    </row>
    <row r="54" spans="1:10" x14ac:dyDescent="0.3">
      <c r="A54">
        <v>53</v>
      </c>
      <c r="B54" s="1" t="s">
        <v>9</v>
      </c>
      <c r="C54" s="1" t="s">
        <v>14</v>
      </c>
      <c r="D54" s="2">
        <v>35</v>
      </c>
      <c r="E54" s="2">
        <v>17.899999999999999</v>
      </c>
      <c r="F54" s="2">
        <v>190</v>
      </c>
      <c r="G54" s="2">
        <v>3450</v>
      </c>
      <c r="H54" s="1" t="s">
        <v>12</v>
      </c>
      <c r="I54">
        <v>2008</v>
      </c>
      <c r="J54" s="1">
        <f>penglings[[#This Row],[bill_length_mm]]/2</f>
        <v>17.5</v>
      </c>
    </row>
    <row r="55" spans="1:10" x14ac:dyDescent="0.3">
      <c r="A55">
        <v>54</v>
      </c>
      <c r="B55" s="1" t="s">
        <v>9</v>
      </c>
      <c r="C55" s="1" t="s">
        <v>14</v>
      </c>
      <c r="D55" s="2">
        <v>42</v>
      </c>
      <c r="E55" s="2">
        <v>19.5</v>
      </c>
      <c r="F55" s="2">
        <v>200</v>
      </c>
      <c r="G55" s="2">
        <v>4050</v>
      </c>
      <c r="H55" s="1" t="s">
        <v>11</v>
      </c>
      <c r="I55">
        <v>2008</v>
      </c>
      <c r="J55" s="1">
        <f>penglings[[#This Row],[bill_length_mm]]/2</f>
        <v>21</v>
      </c>
    </row>
    <row r="56" spans="1:10" x14ac:dyDescent="0.3">
      <c r="A56">
        <v>55</v>
      </c>
      <c r="B56" s="1" t="s">
        <v>9</v>
      </c>
      <c r="C56" s="1" t="s">
        <v>14</v>
      </c>
      <c r="D56" s="2">
        <v>34.5</v>
      </c>
      <c r="E56" s="2">
        <v>18.100000000000001</v>
      </c>
      <c r="F56" s="2">
        <v>187</v>
      </c>
      <c r="G56" s="2">
        <v>2900</v>
      </c>
      <c r="H56" s="1" t="s">
        <v>12</v>
      </c>
      <c r="I56">
        <v>2008</v>
      </c>
      <c r="J56" s="1">
        <f>penglings[[#This Row],[bill_length_mm]]/2</f>
        <v>17.25</v>
      </c>
    </row>
    <row r="57" spans="1:10" x14ac:dyDescent="0.3">
      <c r="A57">
        <v>56</v>
      </c>
      <c r="B57" s="1" t="s">
        <v>9</v>
      </c>
      <c r="C57" s="1" t="s">
        <v>14</v>
      </c>
      <c r="D57" s="2">
        <v>41.4</v>
      </c>
      <c r="E57" s="2">
        <v>18.600000000000001</v>
      </c>
      <c r="F57" s="2">
        <v>191</v>
      </c>
      <c r="G57" s="2">
        <v>3700</v>
      </c>
      <c r="H57" s="1" t="s">
        <v>11</v>
      </c>
      <c r="I57">
        <v>2008</v>
      </c>
      <c r="J57" s="1">
        <f>penglings[[#This Row],[bill_length_mm]]/2</f>
        <v>20.7</v>
      </c>
    </row>
    <row r="58" spans="1:10" x14ac:dyDescent="0.3">
      <c r="A58">
        <v>57</v>
      </c>
      <c r="B58" s="1" t="s">
        <v>9</v>
      </c>
      <c r="C58" s="1" t="s">
        <v>14</v>
      </c>
      <c r="D58" s="2">
        <v>39</v>
      </c>
      <c r="E58" s="2">
        <v>17.5</v>
      </c>
      <c r="F58" s="2">
        <v>186</v>
      </c>
      <c r="G58" s="2">
        <v>3550</v>
      </c>
      <c r="H58" s="1" t="s">
        <v>12</v>
      </c>
      <c r="I58">
        <v>2008</v>
      </c>
      <c r="J58" s="1">
        <f>penglings[[#This Row],[bill_length_mm]]/2</f>
        <v>19.5</v>
      </c>
    </row>
    <row r="59" spans="1:10" x14ac:dyDescent="0.3">
      <c r="A59">
        <v>58</v>
      </c>
      <c r="B59" s="1" t="s">
        <v>9</v>
      </c>
      <c r="C59" s="1" t="s">
        <v>14</v>
      </c>
      <c r="D59" s="2">
        <v>40.6</v>
      </c>
      <c r="E59" s="2">
        <v>18.8</v>
      </c>
      <c r="F59" s="2">
        <v>193</v>
      </c>
      <c r="G59" s="2">
        <v>3800</v>
      </c>
      <c r="H59" s="1" t="s">
        <v>11</v>
      </c>
      <c r="I59">
        <v>2008</v>
      </c>
      <c r="J59" s="1">
        <f>penglings[[#This Row],[bill_length_mm]]/2</f>
        <v>20.3</v>
      </c>
    </row>
    <row r="60" spans="1:10" x14ac:dyDescent="0.3">
      <c r="A60">
        <v>59</v>
      </c>
      <c r="B60" s="1" t="s">
        <v>9</v>
      </c>
      <c r="C60" s="1" t="s">
        <v>14</v>
      </c>
      <c r="D60" s="2">
        <v>36.5</v>
      </c>
      <c r="E60" s="2">
        <v>16.600000000000001</v>
      </c>
      <c r="F60" s="2">
        <v>181</v>
      </c>
      <c r="G60" s="2">
        <v>2850</v>
      </c>
      <c r="H60" s="1" t="s">
        <v>12</v>
      </c>
      <c r="I60">
        <v>2008</v>
      </c>
      <c r="J60" s="1">
        <f>penglings[[#This Row],[bill_length_mm]]/2</f>
        <v>18.25</v>
      </c>
    </row>
    <row r="61" spans="1:10" x14ac:dyDescent="0.3">
      <c r="A61">
        <v>60</v>
      </c>
      <c r="B61" s="1" t="s">
        <v>9</v>
      </c>
      <c r="C61" s="1" t="s">
        <v>14</v>
      </c>
      <c r="D61" s="2">
        <v>37.6</v>
      </c>
      <c r="E61" s="2">
        <v>19.100000000000001</v>
      </c>
      <c r="F61" s="2">
        <v>194</v>
      </c>
      <c r="G61" s="2">
        <v>3750</v>
      </c>
      <c r="H61" s="1" t="s">
        <v>11</v>
      </c>
      <c r="I61">
        <v>2008</v>
      </c>
      <c r="J61" s="1">
        <f>penglings[[#This Row],[bill_length_mm]]/2</f>
        <v>18.8</v>
      </c>
    </row>
    <row r="62" spans="1:10" x14ac:dyDescent="0.3">
      <c r="A62">
        <v>61</v>
      </c>
      <c r="B62" s="1" t="s">
        <v>9</v>
      </c>
      <c r="C62" s="1" t="s">
        <v>14</v>
      </c>
      <c r="D62" s="2">
        <v>35.700000000000003</v>
      </c>
      <c r="E62" s="2">
        <v>16.899999999999999</v>
      </c>
      <c r="F62" s="2">
        <v>185</v>
      </c>
      <c r="G62" s="2">
        <v>3150</v>
      </c>
      <c r="H62" s="1" t="s">
        <v>12</v>
      </c>
      <c r="I62">
        <v>2008</v>
      </c>
      <c r="J62" s="1">
        <f>penglings[[#This Row],[bill_length_mm]]/2</f>
        <v>17.850000000000001</v>
      </c>
    </row>
    <row r="63" spans="1:10" x14ac:dyDescent="0.3">
      <c r="A63">
        <v>62</v>
      </c>
      <c r="B63" s="1" t="s">
        <v>9</v>
      </c>
      <c r="C63" s="1" t="s">
        <v>14</v>
      </c>
      <c r="D63" s="2">
        <v>41.3</v>
      </c>
      <c r="E63" s="2">
        <v>21.1</v>
      </c>
      <c r="F63" s="2">
        <v>195</v>
      </c>
      <c r="G63" s="2">
        <v>4400</v>
      </c>
      <c r="H63" s="1" t="s">
        <v>11</v>
      </c>
      <c r="I63">
        <v>2008</v>
      </c>
      <c r="J63" s="1">
        <f>penglings[[#This Row],[bill_length_mm]]/2</f>
        <v>20.65</v>
      </c>
    </row>
    <row r="64" spans="1:10" x14ac:dyDescent="0.3">
      <c r="A64">
        <v>63</v>
      </c>
      <c r="B64" s="1" t="s">
        <v>9</v>
      </c>
      <c r="C64" s="1" t="s">
        <v>14</v>
      </c>
      <c r="D64" s="2">
        <v>37.6</v>
      </c>
      <c r="E64" s="2">
        <v>17</v>
      </c>
      <c r="F64" s="2">
        <v>185</v>
      </c>
      <c r="G64" s="2">
        <v>3600</v>
      </c>
      <c r="H64" s="1" t="s">
        <v>12</v>
      </c>
      <c r="I64">
        <v>2008</v>
      </c>
      <c r="J64" s="1">
        <f>penglings[[#This Row],[bill_length_mm]]/2</f>
        <v>18.8</v>
      </c>
    </row>
    <row r="65" spans="1:10" x14ac:dyDescent="0.3">
      <c r="A65">
        <v>64</v>
      </c>
      <c r="B65" s="1" t="s">
        <v>9</v>
      </c>
      <c r="C65" s="1" t="s">
        <v>14</v>
      </c>
      <c r="D65" s="2">
        <v>41.1</v>
      </c>
      <c r="E65" s="2">
        <v>18.2</v>
      </c>
      <c r="F65" s="2">
        <v>192</v>
      </c>
      <c r="G65" s="2">
        <v>4050</v>
      </c>
      <c r="H65" s="1" t="s">
        <v>11</v>
      </c>
      <c r="I65">
        <v>2008</v>
      </c>
      <c r="J65" s="1">
        <f>penglings[[#This Row],[bill_length_mm]]/2</f>
        <v>20.55</v>
      </c>
    </row>
    <row r="66" spans="1:10" x14ac:dyDescent="0.3">
      <c r="A66">
        <v>65</v>
      </c>
      <c r="B66" s="1" t="s">
        <v>9</v>
      </c>
      <c r="C66" s="1" t="s">
        <v>14</v>
      </c>
      <c r="D66" s="2">
        <v>36.4</v>
      </c>
      <c r="E66" s="2">
        <v>17.100000000000001</v>
      </c>
      <c r="F66" s="2">
        <v>184</v>
      </c>
      <c r="G66" s="2">
        <v>2850</v>
      </c>
      <c r="H66" s="1" t="s">
        <v>12</v>
      </c>
      <c r="I66">
        <v>2008</v>
      </c>
      <c r="J66" s="1">
        <f>penglings[[#This Row],[bill_length_mm]]/2</f>
        <v>18.2</v>
      </c>
    </row>
    <row r="67" spans="1:10" x14ac:dyDescent="0.3">
      <c r="A67">
        <v>66</v>
      </c>
      <c r="B67" s="1" t="s">
        <v>9</v>
      </c>
      <c r="C67" s="1" t="s">
        <v>14</v>
      </c>
      <c r="D67" s="2">
        <v>41.6</v>
      </c>
      <c r="E67" s="2">
        <v>18</v>
      </c>
      <c r="F67" s="2">
        <v>192</v>
      </c>
      <c r="G67" s="2">
        <v>3950</v>
      </c>
      <c r="H67" s="1" t="s">
        <v>11</v>
      </c>
      <c r="I67">
        <v>2008</v>
      </c>
      <c r="J67" s="1">
        <f>penglings[[#This Row],[bill_length_mm]]/2</f>
        <v>20.8</v>
      </c>
    </row>
    <row r="68" spans="1:10" x14ac:dyDescent="0.3">
      <c r="A68">
        <v>67</v>
      </c>
      <c r="B68" s="1" t="s">
        <v>9</v>
      </c>
      <c r="C68" s="1" t="s">
        <v>14</v>
      </c>
      <c r="D68" s="2">
        <v>35.5</v>
      </c>
      <c r="E68" s="2">
        <v>16.2</v>
      </c>
      <c r="F68" s="2">
        <v>195</v>
      </c>
      <c r="G68" s="2">
        <v>3350</v>
      </c>
      <c r="H68" s="1" t="s">
        <v>12</v>
      </c>
      <c r="I68">
        <v>2008</v>
      </c>
      <c r="J68" s="1">
        <f>penglings[[#This Row],[bill_length_mm]]/2</f>
        <v>17.75</v>
      </c>
    </row>
    <row r="69" spans="1:10" x14ac:dyDescent="0.3">
      <c r="A69">
        <v>68</v>
      </c>
      <c r="B69" s="1" t="s">
        <v>9</v>
      </c>
      <c r="C69" s="1" t="s">
        <v>14</v>
      </c>
      <c r="D69" s="2">
        <v>41.1</v>
      </c>
      <c r="E69" s="2">
        <v>19.100000000000001</v>
      </c>
      <c r="F69" s="2">
        <v>188</v>
      </c>
      <c r="G69" s="2">
        <v>4100</v>
      </c>
      <c r="H69" s="1" t="s">
        <v>11</v>
      </c>
      <c r="I69">
        <v>2008</v>
      </c>
      <c r="J69" s="1">
        <f>penglings[[#This Row],[bill_length_mm]]/2</f>
        <v>20.55</v>
      </c>
    </row>
    <row r="70" spans="1:10" x14ac:dyDescent="0.3">
      <c r="A70">
        <v>69</v>
      </c>
      <c r="B70" s="1" t="s">
        <v>9</v>
      </c>
      <c r="C70" s="1" t="s">
        <v>10</v>
      </c>
      <c r="D70" s="2">
        <v>35.9</v>
      </c>
      <c r="E70" s="2">
        <v>16.600000000000001</v>
      </c>
      <c r="F70" s="2">
        <v>190</v>
      </c>
      <c r="G70" s="2">
        <v>3050</v>
      </c>
      <c r="H70" s="1" t="s">
        <v>12</v>
      </c>
      <c r="I70">
        <v>2008</v>
      </c>
      <c r="J70" s="1">
        <f>penglings[[#This Row],[bill_length_mm]]/2</f>
        <v>17.95</v>
      </c>
    </row>
    <row r="71" spans="1:10" x14ac:dyDescent="0.3">
      <c r="A71">
        <v>70</v>
      </c>
      <c r="B71" s="1" t="s">
        <v>9</v>
      </c>
      <c r="C71" s="1" t="s">
        <v>10</v>
      </c>
      <c r="D71" s="2">
        <v>41.8</v>
      </c>
      <c r="E71" s="2">
        <v>19.399999999999999</v>
      </c>
      <c r="F71" s="2">
        <v>198</v>
      </c>
      <c r="G71" s="2">
        <v>4450</v>
      </c>
      <c r="H71" s="1" t="s">
        <v>11</v>
      </c>
      <c r="I71">
        <v>2008</v>
      </c>
      <c r="J71" s="1">
        <f>penglings[[#This Row],[bill_length_mm]]/2</f>
        <v>20.9</v>
      </c>
    </row>
    <row r="72" spans="1:10" x14ac:dyDescent="0.3">
      <c r="A72">
        <v>71</v>
      </c>
      <c r="B72" s="1" t="s">
        <v>9</v>
      </c>
      <c r="C72" s="1" t="s">
        <v>10</v>
      </c>
      <c r="D72" s="2">
        <v>33.5</v>
      </c>
      <c r="E72" s="2">
        <v>19</v>
      </c>
      <c r="F72" s="2">
        <v>190</v>
      </c>
      <c r="G72" s="2">
        <v>3600</v>
      </c>
      <c r="H72" s="1" t="s">
        <v>12</v>
      </c>
      <c r="I72">
        <v>2008</v>
      </c>
      <c r="J72" s="1">
        <f>penglings[[#This Row],[bill_length_mm]]/2</f>
        <v>16.75</v>
      </c>
    </row>
    <row r="73" spans="1:10" x14ac:dyDescent="0.3">
      <c r="A73">
        <v>72</v>
      </c>
      <c r="B73" s="1" t="s">
        <v>9</v>
      </c>
      <c r="C73" s="1" t="s">
        <v>10</v>
      </c>
      <c r="D73" s="2">
        <v>39.700000000000003</v>
      </c>
      <c r="E73" s="2">
        <v>18.399999999999999</v>
      </c>
      <c r="F73" s="2">
        <v>190</v>
      </c>
      <c r="G73" s="2">
        <v>3900</v>
      </c>
      <c r="H73" s="1" t="s">
        <v>11</v>
      </c>
      <c r="I73">
        <v>2008</v>
      </c>
      <c r="J73" s="1">
        <f>penglings[[#This Row],[bill_length_mm]]/2</f>
        <v>19.850000000000001</v>
      </c>
    </row>
    <row r="74" spans="1:10" x14ac:dyDescent="0.3">
      <c r="A74">
        <v>73</v>
      </c>
      <c r="B74" s="1" t="s">
        <v>9</v>
      </c>
      <c r="C74" s="1" t="s">
        <v>10</v>
      </c>
      <c r="D74" s="2">
        <v>39.6</v>
      </c>
      <c r="E74" s="2">
        <v>17.2</v>
      </c>
      <c r="F74" s="2">
        <v>196</v>
      </c>
      <c r="G74" s="2">
        <v>3550</v>
      </c>
      <c r="H74" s="1" t="s">
        <v>12</v>
      </c>
      <c r="I74">
        <v>2008</v>
      </c>
      <c r="J74" s="1">
        <f>penglings[[#This Row],[bill_length_mm]]/2</f>
        <v>19.8</v>
      </c>
    </row>
    <row r="75" spans="1:10" x14ac:dyDescent="0.3">
      <c r="A75">
        <v>74</v>
      </c>
      <c r="B75" s="1" t="s">
        <v>9</v>
      </c>
      <c r="C75" s="1" t="s">
        <v>10</v>
      </c>
      <c r="D75" s="2">
        <v>45.8</v>
      </c>
      <c r="E75" s="2">
        <v>18.899999999999999</v>
      </c>
      <c r="F75" s="2">
        <v>197</v>
      </c>
      <c r="G75" s="2">
        <v>4150</v>
      </c>
      <c r="H75" s="1" t="s">
        <v>11</v>
      </c>
      <c r="I75">
        <v>2008</v>
      </c>
      <c r="J75" s="1">
        <f>penglings[[#This Row],[bill_length_mm]]/2</f>
        <v>22.9</v>
      </c>
    </row>
    <row r="76" spans="1:10" x14ac:dyDescent="0.3">
      <c r="A76">
        <v>75</v>
      </c>
      <c r="B76" s="1" t="s">
        <v>9</v>
      </c>
      <c r="C76" s="1" t="s">
        <v>10</v>
      </c>
      <c r="D76" s="2">
        <v>35.5</v>
      </c>
      <c r="E76" s="2">
        <v>17.5</v>
      </c>
      <c r="F76" s="2">
        <v>190</v>
      </c>
      <c r="G76" s="2">
        <v>3700</v>
      </c>
      <c r="H76" s="1" t="s">
        <v>12</v>
      </c>
      <c r="I76">
        <v>2008</v>
      </c>
      <c r="J76" s="1">
        <f>penglings[[#This Row],[bill_length_mm]]/2</f>
        <v>17.75</v>
      </c>
    </row>
    <row r="77" spans="1:10" x14ac:dyDescent="0.3">
      <c r="A77">
        <v>76</v>
      </c>
      <c r="B77" s="1" t="s">
        <v>9</v>
      </c>
      <c r="C77" s="1" t="s">
        <v>10</v>
      </c>
      <c r="D77" s="2">
        <v>42.8</v>
      </c>
      <c r="E77" s="2">
        <v>18.5</v>
      </c>
      <c r="F77" s="2">
        <v>195</v>
      </c>
      <c r="G77" s="2">
        <v>4250</v>
      </c>
      <c r="H77" s="1" t="s">
        <v>11</v>
      </c>
      <c r="I77">
        <v>2008</v>
      </c>
      <c r="J77" s="1">
        <f>penglings[[#This Row],[bill_length_mm]]/2</f>
        <v>21.4</v>
      </c>
    </row>
    <row r="78" spans="1:10" x14ac:dyDescent="0.3">
      <c r="A78">
        <v>77</v>
      </c>
      <c r="B78" s="1" t="s">
        <v>9</v>
      </c>
      <c r="C78" s="1" t="s">
        <v>10</v>
      </c>
      <c r="D78" s="2">
        <v>40.9</v>
      </c>
      <c r="E78" s="2">
        <v>16.8</v>
      </c>
      <c r="F78" s="2">
        <v>191</v>
      </c>
      <c r="G78" s="2">
        <v>3700</v>
      </c>
      <c r="H78" s="1" t="s">
        <v>12</v>
      </c>
      <c r="I78">
        <v>2008</v>
      </c>
      <c r="J78" s="1">
        <f>penglings[[#This Row],[bill_length_mm]]/2</f>
        <v>20.45</v>
      </c>
    </row>
    <row r="79" spans="1:10" x14ac:dyDescent="0.3">
      <c r="A79">
        <v>78</v>
      </c>
      <c r="B79" s="1" t="s">
        <v>9</v>
      </c>
      <c r="C79" s="1" t="s">
        <v>10</v>
      </c>
      <c r="D79" s="2">
        <v>37.200000000000003</v>
      </c>
      <c r="E79" s="2">
        <v>19.399999999999999</v>
      </c>
      <c r="F79" s="2">
        <v>184</v>
      </c>
      <c r="G79" s="2">
        <v>3900</v>
      </c>
      <c r="H79" s="1" t="s">
        <v>11</v>
      </c>
      <c r="I79">
        <v>2008</v>
      </c>
      <c r="J79" s="1">
        <f>penglings[[#This Row],[bill_length_mm]]/2</f>
        <v>18.600000000000001</v>
      </c>
    </row>
    <row r="80" spans="1:10" x14ac:dyDescent="0.3">
      <c r="A80">
        <v>79</v>
      </c>
      <c r="B80" s="1" t="s">
        <v>9</v>
      </c>
      <c r="C80" s="1" t="s">
        <v>10</v>
      </c>
      <c r="D80" s="2">
        <v>36.200000000000003</v>
      </c>
      <c r="E80" s="2">
        <v>16.100000000000001</v>
      </c>
      <c r="F80" s="2">
        <v>187</v>
      </c>
      <c r="G80" s="2">
        <v>3550</v>
      </c>
      <c r="H80" s="1" t="s">
        <v>12</v>
      </c>
      <c r="I80">
        <v>2008</v>
      </c>
      <c r="J80" s="1">
        <f>penglings[[#This Row],[bill_length_mm]]/2</f>
        <v>18.100000000000001</v>
      </c>
    </row>
    <row r="81" spans="1:10" x14ac:dyDescent="0.3">
      <c r="A81">
        <v>80</v>
      </c>
      <c r="B81" s="1" t="s">
        <v>9</v>
      </c>
      <c r="C81" s="1" t="s">
        <v>10</v>
      </c>
      <c r="D81" s="2">
        <v>42.1</v>
      </c>
      <c r="E81" s="2">
        <v>19.100000000000001</v>
      </c>
      <c r="F81" s="2">
        <v>195</v>
      </c>
      <c r="G81" s="2">
        <v>4000</v>
      </c>
      <c r="H81" s="1" t="s">
        <v>11</v>
      </c>
      <c r="I81">
        <v>2008</v>
      </c>
      <c r="J81" s="1">
        <f>penglings[[#This Row],[bill_length_mm]]/2</f>
        <v>21.05</v>
      </c>
    </row>
    <row r="82" spans="1:10" x14ac:dyDescent="0.3">
      <c r="A82">
        <v>81</v>
      </c>
      <c r="B82" s="1" t="s">
        <v>9</v>
      </c>
      <c r="C82" s="1" t="s">
        <v>10</v>
      </c>
      <c r="D82" s="2">
        <v>34.6</v>
      </c>
      <c r="E82" s="2">
        <v>17.2</v>
      </c>
      <c r="F82" s="2">
        <v>189</v>
      </c>
      <c r="G82" s="2">
        <v>3200</v>
      </c>
      <c r="H82" s="1" t="s">
        <v>12</v>
      </c>
      <c r="I82">
        <v>2008</v>
      </c>
      <c r="J82" s="1">
        <f>penglings[[#This Row],[bill_length_mm]]/2</f>
        <v>17.3</v>
      </c>
    </row>
    <row r="83" spans="1:10" x14ac:dyDescent="0.3">
      <c r="A83">
        <v>82</v>
      </c>
      <c r="B83" s="1" t="s">
        <v>9</v>
      </c>
      <c r="C83" s="1" t="s">
        <v>10</v>
      </c>
      <c r="D83" s="2">
        <v>42.9</v>
      </c>
      <c r="E83" s="2">
        <v>17.600000000000001</v>
      </c>
      <c r="F83" s="2">
        <v>196</v>
      </c>
      <c r="G83" s="2">
        <v>4700</v>
      </c>
      <c r="H83" s="1" t="s">
        <v>11</v>
      </c>
      <c r="I83">
        <v>2008</v>
      </c>
      <c r="J83" s="1">
        <f>penglings[[#This Row],[bill_length_mm]]/2</f>
        <v>21.45</v>
      </c>
    </row>
    <row r="84" spans="1:10" x14ac:dyDescent="0.3">
      <c r="A84">
        <v>83</v>
      </c>
      <c r="B84" s="1" t="s">
        <v>9</v>
      </c>
      <c r="C84" s="1" t="s">
        <v>10</v>
      </c>
      <c r="D84" s="2">
        <v>36.700000000000003</v>
      </c>
      <c r="E84" s="2">
        <v>18.8</v>
      </c>
      <c r="F84" s="2">
        <v>187</v>
      </c>
      <c r="G84" s="2">
        <v>3800</v>
      </c>
      <c r="H84" s="1" t="s">
        <v>12</v>
      </c>
      <c r="I84">
        <v>2008</v>
      </c>
      <c r="J84" s="1">
        <f>penglings[[#This Row],[bill_length_mm]]/2</f>
        <v>18.350000000000001</v>
      </c>
    </row>
    <row r="85" spans="1:10" x14ac:dyDescent="0.3">
      <c r="A85">
        <v>84</v>
      </c>
      <c r="B85" s="1" t="s">
        <v>9</v>
      </c>
      <c r="C85" s="1" t="s">
        <v>10</v>
      </c>
      <c r="D85" s="2">
        <v>35.1</v>
      </c>
      <c r="E85" s="2">
        <v>19.399999999999999</v>
      </c>
      <c r="F85" s="2">
        <v>193</v>
      </c>
      <c r="G85" s="2">
        <v>4200</v>
      </c>
      <c r="H85" s="1" t="s">
        <v>11</v>
      </c>
      <c r="I85">
        <v>2008</v>
      </c>
      <c r="J85" s="1">
        <f>penglings[[#This Row],[bill_length_mm]]/2</f>
        <v>17.55</v>
      </c>
    </row>
    <row r="86" spans="1:10" x14ac:dyDescent="0.3">
      <c r="A86">
        <v>85</v>
      </c>
      <c r="B86" s="1" t="s">
        <v>9</v>
      </c>
      <c r="C86" s="1" t="s">
        <v>15</v>
      </c>
      <c r="D86" s="2">
        <v>37.299999999999997</v>
      </c>
      <c r="E86" s="2">
        <v>17.8</v>
      </c>
      <c r="F86" s="2">
        <v>191</v>
      </c>
      <c r="G86" s="2">
        <v>3350</v>
      </c>
      <c r="H86" s="1" t="s">
        <v>12</v>
      </c>
      <c r="I86">
        <v>2008</v>
      </c>
      <c r="J86" s="1">
        <f>penglings[[#This Row],[bill_length_mm]]/2</f>
        <v>18.649999999999999</v>
      </c>
    </row>
    <row r="87" spans="1:10" x14ac:dyDescent="0.3">
      <c r="A87">
        <v>86</v>
      </c>
      <c r="B87" s="1" t="s">
        <v>9</v>
      </c>
      <c r="C87" s="1" t="s">
        <v>15</v>
      </c>
      <c r="D87" s="2">
        <v>41.3</v>
      </c>
      <c r="E87" s="2">
        <v>20.3</v>
      </c>
      <c r="F87" s="2">
        <v>194</v>
      </c>
      <c r="G87" s="2">
        <v>3550</v>
      </c>
      <c r="H87" s="1" t="s">
        <v>11</v>
      </c>
      <c r="I87">
        <v>2008</v>
      </c>
      <c r="J87" s="1">
        <f>penglings[[#This Row],[bill_length_mm]]/2</f>
        <v>20.65</v>
      </c>
    </row>
    <row r="88" spans="1:10" x14ac:dyDescent="0.3">
      <c r="A88">
        <v>87</v>
      </c>
      <c r="B88" s="1" t="s">
        <v>9</v>
      </c>
      <c r="C88" s="1" t="s">
        <v>15</v>
      </c>
      <c r="D88" s="2">
        <v>36.299999999999997</v>
      </c>
      <c r="E88" s="2">
        <v>19.5</v>
      </c>
      <c r="F88" s="2">
        <v>190</v>
      </c>
      <c r="G88" s="2">
        <v>3800</v>
      </c>
      <c r="H88" s="1" t="s">
        <v>11</v>
      </c>
      <c r="I88">
        <v>2008</v>
      </c>
      <c r="J88" s="1">
        <f>penglings[[#This Row],[bill_length_mm]]/2</f>
        <v>18.149999999999999</v>
      </c>
    </row>
    <row r="89" spans="1:10" x14ac:dyDescent="0.3">
      <c r="A89">
        <v>88</v>
      </c>
      <c r="B89" s="1" t="s">
        <v>9</v>
      </c>
      <c r="C89" s="1" t="s">
        <v>15</v>
      </c>
      <c r="D89" s="2">
        <v>36.9</v>
      </c>
      <c r="E89" s="2">
        <v>18.600000000000001</v>
      </c>
      <c r="F89" s="2">
        <v>189</v>
      </c>
      <c r="G89" s="2">
        <v>3500</v>
      </c>
      <c r="H89" s="1" t="s">
        <v>12</v>
      </c>
      <c r="I89">
        <v>2008</v>
      </c>
      <c r="J89" s="1">
        <f>penglings[[#This Row],[bill_length_mm]]/2</f>
        <v>18.45</v>
      </c>
    </row>
    <row r="90" spans="1:10" x14ac:dyDescent="0.3">
      <c r="A90">
        <v>89</v>
      </c>
      <c r="B90" s="1" t="s">
        <v>9</v>
      </c>
      <c r="C90" s="1" t="s">
        <v>15</v>
      </c>
      <c r="D90" s="2">
        <v>38.299999999999997</v>
      </c>
      <c r="E90" s="2">
        <v>19.2</v>
      </c>
      <c r="F90" s="2">
        <v>189</v>
      </c>
      <c r="G90" s="2">
        <v>3950</v>
      </c>
      <c r="H90" s="1" t="s">
        <v>11</v>
      </c>
      <c r="I90">
        <v>2008</v>
      </c>
      <c r="J90" s="1">
        <f>penglings[[#This Row],[bill_length_mm]]/2</f>
        <v>19.149999999999999</v>
      </c>
    </row>
    <row r="91" spans="1:10" x14ac:dyDescent="0.3">
      <c r="A91">
        <v>90</v>
      </c>
      <c r="B91" s="1" t="s">
        <v>9</v>
      </c>
      <c r="C91" s="1" t="s">
        <v>15</v>
      </c>
      <c r="D91" s="2">
        <v>38.9</v>
      </c>
      <c r="E91" s="2">
        <v>18.8</v>
      </c>
      <c r="F91" s="2">
        <v>190</v>
      </c>
      <c r="G91" s="2">
        <v>3600</v>
      </c>
      <c r="H91" s="1" t="s">
        <v>12</v>
      </c>
      <c r="I91">
        <v>2008</v>
      </c>
      <c r="J91" s="1">
        <f>penglings[[#This Row],[bill_length_mm]]/2</f>
        <v>19.45</v>
      </c>
    </row>
    <row r="92" spans="1:10" x14ac:dyDescent="0.3">
      <c r="A92">
        <v>91</v>
      </c>
      <c r="B92" s="1" t="s">
        <v>9</v>
      </c>
      <c r="C92" s="1" t="s">
        <v>15</v>
      </c>
      <c r="D92" s="2">
        <v>35.700000000000003</v>
      </c>
      <c r="E92" s="2">
        <v>18</v>
      </c>
      <c r="F92" s="2">
        <v>202</v>
      </c>
      <c r="G92" s="2">
        <v>3550</v>
      </c>
      <c r="H92" s="1" t="s">
        <v>12</v>
      </c>
      <c r="I92">
        <v>2008</v>
      </c>
      <c r="J92" s="1">
        <f>penglings[[#This Row],[bill_length_mm]]/2</f>
        <v>17.850000000000001</v>
      </c>
    </row>
    <row r="93" spans="1:10" x14ac:dyDescent="0.3">
      <c r="A93">
        <v>92</v>
      </c>
      <c r="B93" s="1" t="s">
        <v>9</v>
      </c>
      <c r="C93" s="1" t="s">
        <v>15</v>
      </c>
      <c r="D93" s="2">
        <v>41.1</v>
      </c>
      <c r="E93" s="2">
        <v>18.100000000000001</v>
      </c>
      <c r="F93" s="2">
        <v>205</v>
      </c>
      <c r="G93" s="2">
        <v>4300</v>
      </c>
      <c r="H93" s="1" t="s">
        <v>11</v>
      </c>
      <c r="I93">
        <v>2008</v>
      </c>
      <c r="J93" s="1">
        <f>penglings[[#This Row],[bill_length_mm]]/2</f>
        <v>20.55</v>
      </c>
    </row>
    <row r="94" spans="1:10" x14ac:dyDescent="0.3">
      <c r="A94">
        <v>93</v>
      </c>
      <c r="B94" s="1" t="s">
        <v>9</v>
      </c>
      <c r="C94" s="1" t="s">
        <v>15</v>
      </c>
      <c r="D94" s="2">
        <v>34</v>
      </c>
      <c r="E94" s="2">
        <v>17.100000000000001</v>
      </c>
      <c r="F94" s="2">
        <v>185</v>
      </c>
      <c r="G94" s="2">
        <v>3400</v>
      </c>
      <c r="H94" s="1" t="s">
        <v>12</v>
      </c>
      <c r="I94">
        <v>2008</v>
      </c>
      <c r="J94" s="1">
        <f>penglings[[#This Row],[bill_length_mm]]/2</f>
        <v>17</v>
      </c>
    </row>
    <row r="95" spans="1:10" x14ac:dyDescent="0.3">
      <c r="A95">
        <v>94</v>
      </c>
      <c r="B95" s="1" t="s">
        <v>9</v>
      </c>
      <c r="C95" s="1" t="s">
        <v>15</v>
      </c>
      <c r="D95" s="2">
        <v>39.6</v>
      </c>
      <c r="E95" s="2">
        <v>18.100000000000001</v>
      </c>
      <c r="F95" s="2">
        <v>186</v>
      </c>
      <c r="G95" s="2">
        <v>4450</v>
      </c>
      <c r="H95" s="1" t="s">
        <v>11</v>
      </c>
      <c r="I95">
        <v>2008</v>
      </c>
      <c r="J95" s="1">
        <f>penglings[[#This Row],[bill_length_mm]]/2</f>
        <v>19.8</v>
      </c>
    </row>
    <row r="96" spans="1:10" x14ac:dyDescent="0.3">
      <c r="A96">
        <v>95</v>
      </c>
      <c r="B96" s="1" t="s">
        <v>9</v>
      </c>
      <c r="C96" s="1" t="s">
        <v>15</v>
      </c>
      <c r="D96" s="2">
        <v>36.200000000000003</v>
      </c>
      <c r="E96" s="2">
        <v>17.3</v>
      </c>
      <c r="F96" s="2">
        <v>187</v>
      </c>
      <c r="G96" s="2">
        <v>3300</v>
      </c>
      <c r="H96" s="1" t="s">
        <v>12</v>
      </c>
      <c r="I96">
        <v>2008</v>
      </c>
      <c r="J96" s="1">
        <f>penglings[[#This Row],[bill_length_mm]]/2</f>
        <v>18.100000000000001</v>
      </c>
    </row>
    <row r="97" spans="1:10" x14ac:dyDescent="0.3">
      <c r="A97">
        <v>96</v>
      </c>
      <c r="B97" s="1" t="s">
        <v>9</v>
      </c>
      <c r="C97" s="1" t="s">
        <v>15</v>
      </c>
      <c r="D97" s="2">
        <v>40.799999999999997</v>
      </c>
      <c r="E97" s="2">
        <v>18.899999999999999</v>
      </c>
      <c r="F97" s="2">
        <v>208</v>
      </c>
      <c r="G97" s="2">
        <v>4300</v>
      </c>
      <c r="H97" s="1" t="s">
        <v>11</v>
      </c>
      <c r="I97">
        <v>2008</v>
      </c>
      <c r="J97" s="1">
        <f>penglings[[#This Row],[bill_length_mm]]/2</f>
        <v>20.399999999999999</v>
      </c>
    </row>
    <row r="98" spans="1:10" x14ac:dyDescent="0.3">
      <c r="A98">
        <v>97</v>
      </c>
      <c r="B98" s="1" t="s">
        <v>9</v>
      </c>
      <c r="C98" s="1" t="s">
        <v>15</v>
      </c>
      <c r="D98" s="2">
        <v>38.1</v>
      </c>
      <c r="E98" s="2">
        <v>18.600000000000001</v>
      </c>
      <c r="F98" s="2">
        <v>190</v>
      </c>
      <c r="G98" s="2">
        <v>3700</v>
      </c>
      <c r="H98" s="1" t="s">
        <v>12</v>
      </c>
      <c r="I98">
        <v>2008</v>
      </c>
      <c r="J98" s="1">
        <f>penglings[[#This Row],[bill_length_mm]]/2</f>
        <v>19.05</v>
      </c>
    </row>
    <row r="99" spans="1:10" x14ac:dyDescent="0.3">
      <c r="A99">
        <v>98</v>
      </c>
      <c r="B99" s="1" t="s">
        <v>9</v>
      </c>
      <c r="C99" s="1" t="s">
        <v>15</v>
      </c>
      <c r="D99" s="2">
        <v>40.299999999999997</v>
      </c>
      <c r="E99" s="2">
        <v>18.5</v>
      </c>
      <c r="F99" s="2">
        <v>196</v>
      </c>
      <c r="G99" s="2">
        <v>4350</v>
      </c>
      <c r="H99" s="1" t="s">
        <v>11</v>
      </c>
      <c r="I99">
        <v>2008</v>
      </c>
      <c r="J99" s="1">
        <f>penglings[[#This Row],[bill_length_mm]]/2</f>
        <v>20.149999999999999</v>
      </c>
    </row>
    <row r="100" spans="1:10" x14ac:dyDescent="0.3">
      <c r="A100">
        <v>99</v>
      </c>
      <c r="B100" s="1" t="s">
        <v>9</v>
      </c>
      <c r="C100" s="1" t="s">
        <v>15</v>
      </c>
      <c r="D100" s="2">
        <v>33.1</v>
      </c>
      <c r="E100" s="2">
        <v>16.100000000000001</v>
      </c>
      <c r="F100" s="2">
        <v>178</v>
      </c>
      <c r="G100" s="2">
        <v>2900</v>
      </c>
      <c r="H100" s="1" t="s">
        <v>12</v>
      </c>
      <c r="I100">
        <v>2008</v>
      </c>
      <c r="J100" s="1">
        <f>penglings[[#This Row],[bill_length_mm]]/2</f>
        <v>16.55</v>
      </c>
    </row>
    <row r="101" spans="1:10" x14ac:dyDescent="0.3">
      <c r="A101">
        <v>100</v>
      </c>
      <c r="B101" s="1" t="s">
        <v>9</v>
      </c>
      <c r="C101" s="1" t="s">
        <v>15</v>
      </c>
      <c r="D101" s="2">
        <v>43.2</v>
      </c>
      <c r="E101" s="2">
        <v>18.5</v>
      </c>
      <c r="F101" s="2">
        <v>192</v>
      </c>
      <c r="G101" s="2">
        <v>4100</v>
      </c>
      <c r="H101" s="1" t="s">
        <v>11</v>
      </c>
      <c r="I101">
        <v>2008</v>
      </c>
      <c r="J101" s="1">
        <f>penglings[[#This Row],[bill_length_mm]]/2</f>
        <v>21.6</v>
      </c>
    </row>
    <row r="102" spans="1:10" x14ac:dyDescent="0.3">
      <c r="A102">
        <v>101</v>
      </c>
      <c r="B102" s="1" t="s">
        <v>9</v>
      </c>
      <c r="C102" s="1" t="s">
        <v>14</v>
      </c>
      <c r="D102" s="2">
        <v>35</v>
      </c>
      <c r="E102" s="2">
        <v>17.899999999999999</v>
      </c>
      <c r="F102" s="2">
        <v>192</v>
      </c>
      <c r="G102" s="2">
        <v>3725</v>
      </c>
      <c r="H102" s="1" t="s">
        <v>12</v>
      </c>
      <c r="I102">
        <v>2009</v>
      </c>
      <c r="J102" s="1">
        <f>penglings[[#This Row],[bill_length_mm]]/2</f>
        <v>17.5</v>
      </c>
    </row>
    <row r="103" spans="1:10" x14ac:dyDescent="0.3">
      <c r="A103">
        <v>102</v>
      </c>
      <c r="B103" s="1" t="s">
        <v>9</v>
      </c>
      <c r="C103" s="1" t="s">
        <v>14</v>
      </c>
      <c r="D103" s="2">
        <v>41</v>
      </c>
      <c r="E103" s="2">
        <v>20</v>
      </c>
      <c r="F103" s="2">
        <v>203</v>
      </c>
      <c r="G103" s="2">
        <v>4725</v>
      </c>
      <c r="H103" s="1" t="s">
        <v>11</v>
      </c>
      <c r="I103">
        <v>2009</v>
      </c>
      <c r="J103" s="1">
        <f>penglings[[#This Row],[bill_length_mm]]/2</f>
        <v>20.5</v>
      </c>
    </row>
    <row r="104" spans="1:10" x14ac:dyDescent="0.3">
      <c r="A104">
        <v>103</v>
      </c>
      <c r="B104" s="1" t="s">
        <v>9</v>
      </c>
      <c r="C104" s="1" t="s">
        <v>14</v>
      </c>
      <c r="D104" s="2">
        <v>37.700000000000003</v>
      </c>
      <c r="E104" s="2">
        <v>16</v>
      </c>
      <c r="F104" s="2">
        <v>183</v>
      </c>
      <c r="G104" s="2">
        <v>3075</v>
      </c>
      <c r="H104" s="1" t="s">
        <v>12</v>
      </c>
      <c r="I104">
        <v>2009</v>
      </c>
      <c r="J104" s="1">
        <f>penglings[[#This Row],[bill_length_mm]]/2</f>
        <v>18.850000000000001</v>
      </c>
    </row>
    <row r="105" spans="1:10" x14ac:dyDescent="0.3">
      <c r="A105">
        <v>104</v>
      </c>
      <c r="B105" s="1" t="s">
        <v>9</v>
      </c>
      <c r="C105" s="1" t="s">
        <v>14</v>
      </c>
      <c r="D105" s="2">
        <v>37.799999999999997</v>
      </c>
      <c r="E105" s="2">
        <v>20</v>
      </c>
      <c r="F105" s="2">
        <v>190</v>
      </c>
      <c r="G105" s="2">
        <v>4250</v>
      </c>
      <c r="H105" s="1" t="s">
        <v>11</v>
      </c>
      <c r="I105">
        <v>2009</v>
      </c>
      <c r="J105" s="1">
        <f>penglings[[#This Row],[bill_length_mm]]/2</f>
        <v>18.899999999999999</v>
      </c>
    </row>
    <row r="106" spans="1:10" x14ac:dyDescent="0.3">
      <c r="A106">
        <v>105</v>
      </c>
      <c r="B106" s="1" t="s">
        <v>9</v>
      </c>
      <c r="C106" s="1" t="s">
        <v>14</v>
      </c>
      <c r="D106" s="2">
        <v>37.9</v>
      </c>
      <c r="E106" s="2">
        <v>18.600000000000001</v>
      </c>
      <c r="F106" s="2">
        <v>193</v>
      </c>
      <c r="G106" s="2">
        <v>2925</v>
      </c>
      <c r="H106" s="1" t="s">
        <v>12</v>
      </c>
      <c r="I106">
        <v>2009</v>
      </c>
      <c r="J106" s="1">
        <f>penglings[[#This Row],[bill_length_mm]]/2</f>
        <v>18.95</v>
      </c>
    </row>
    <row r="107" spans="1:10" x14ac:dyDescent="0.3">
      <c r="A107">
        <v>106</v>
      </c>
      <c r="B107" s="1" t="s">
        <v>9</v>
      </c>
      <c r="C107" s="1" t="s">
        <v>14</v>
      </c>
      <c r="D107" s="2">
        <v>39.700000000000003</v>
      </c>
      <c r="E107" s="2">
        <v>18.899999999999999</v>
      </c>
      <c r="F107" s="2">
        <v>184</v>
      </c>
      <c r="G107" s="2">
        <v>3550</v>
      </c>
      <c r="H107" s="1" t="s">
        <v>11</v>
      </c>
      <c r="I107">
        <v>2009</v>
      </c>
      <c r="J107" s="1">
        <f>penglings[[#This Row],[bill_length_mm]]/2</f>
        <v>19.850000000000001</v>
      </c>
    </row>
    <row r="108" spans="1:10" x14ac:dyDescent="0.3">
      <c r="A108">
        <v>107</v>
      </c>
      <c r="B108" s="1" t="s">
        <v>9</v>
      </c>
      <c r="C108" s="1" t="s">
        <v>14</v>
      </c>
      <c r="D108" s="2">
        <v>38.6</v>
      </c>
      <c r="E108" s="2">
        <v>17.2</v>
      </c>
      <c r="F108" s="2">
        <v>199</v>
      </c>
      <c r="G108" s="2">
        <v>3750</v>
      </c>
      <c r="H108" s="1" t="s">
        <v>12</v>
      </c>
      <c r="I108">
        <v>2009</v>
      </c>
      <c r="J108" s="1">
        <f>penglings[[#This Row],[bill_length_mm]]/2</f>
        <v>19.3</v>
      </c>
    </row>
    <row r="109" spans="1:10" x14ac:dyDescent="0.3">
      <c r="A109">
        <v>108</v>
      </c>
      <c r="B109" s="1" t="s">
        <v>9</v>
      </c>
      <c r="C109" s="1" t="s">
        <v>14</v>
      </c>
      <c r="D109" s="2">
        <v>38.200000000000003</v>
      </c>
      <c r="E109" s="2">
        <v>20</v>
      </c>
      <c r="F109" s="2">
        <v>190</v>
      </c>
      <c r="G109" s="2">
        <v>3900</v>
      </c>
      <c r="H109" s="1" t="s">
        <v>11</v>
      </c>
      <c r="I109">
        <v>2009</v>
      </c>
      <c r="J109" s="1">
        <f>penglings[[#This Row],[bill_length_mm]]/2</f>
        <v>19.100000000000001</v>
      </c>
    </row>
    <row r="110" spans="1:10" x14ac:dyDescent="0.3">
      <c r="A110">
        <v>109</v>
      </c>
      <c r="B110" s="1" t="s">
        <v>9</v>
      </c>
      <c r="C110" s="1" t="s">
        <v>14</v>
      </c>
      <c r="D110" s="2">
        <v>38.1</v>
      </c>
      <c r="E110" s="2">
        <v>17</v>
      </c>
      <c r="F110" s="2">
        <v>181</v>
      </c>
      <c r="G110" s="2">
        <v>3175</v>
      </c>
      <c r="H110" s="1" t="s">
        <v>12</v>
      </c>
      <c r="I110">
        <v>2009</v>
      </c>
      <c r="J110" s="1">
        <f>penglings[[#This Row],[bill_length_mm]]/2</f>
        <v>19.05</v>
      </c>
    </row>
    <row r="111" spans="1:10" x14ac:dyDescent="0.3">
      <c r="A111">
        <v>110</v>
      </c>
      <c r="B111" s="1" t="s">
        <v>9</v>
      </c>
      <c r="C111" s="1" t="s">
        <v>14</v>
      </c>
      <c r="D111" s="2">
        <v>43.2</v>
      </c>
      <c r="E111" s="2">
        <v>19</v>
      </c>
      <c r="F111" s="2">
        <v>197</v>
      </c>
      <c r="G111" s="2">
        <v>4775</v>
      </c>
      <c r="H111" s="1" t="s">
        <v>11</v>
      </c>
      <c r="I111">
        <v>2009</v>
      </c>
      <c r="J111" s="1">
        <f>penglings[[#This Row],[bill_length_mm]]/2</f>
        <v>21.6</v>
      </c>
    </row>
    <row r="112" spans="1:10" x14ac:dyDescent="0.3">
      <c r="A112">
        <v>111</v>
      </c>
      <c r="B112" s="1" t="s">
        <v>9</v>
      </c>
      <c r="C112" s="1" t="s">
        <v>14</v>
      </c>
      <c r="D112" s="2">
        <v>38.1</v>
      </c>
      <c r="E112" s="2">
        <v>16.5</v>
      </c>
      <c r="F112" s="2">
        <v>198</v>
      </c>
      <c r="G112" s="2">
        <v>3825</v>
      </c>
      <c r="H112" s="1" t="s">
        <v>12</v>
      </c>
      <c r="I112">
        <v>2009</v>
      </c>
      <c r="J112" s="1">
        <f>penglings[[#This Row],[bill_length_mm]]/2</f>
        <v>19.05</v>
      </c>
    </row>
    <row r="113" spans="1:10" x14ac:dyDescent="0.3">
      <c r="A113">
        <v>112</v>
      </c>
      <c r="B113" s="1" t="s">
        <v>9</v>
      </c>
      <c r="C113" s="1" t="s">
        <v>14</v>
      </c>
      <c r="D113" s="2">
        <v>45.6</v>
      </c>
      <c r="E113" s="2">
        <v>20.3</v>
      </c>
      <c r="F113" s="2">
        <v>191</v>
      </c>
      <c r="G113" s="2">
        <v>4600</v>
      </c>
      <c r="H113" s="1" t="s">
        <v>11</v>
      </c>
      <c r="I113">
        <v>2009</v>
      </c>
      <c r="J113" s="1">
        <f>penglings[[#This Row],[bill_length_mm]]/2</f>
        <v>22.8</v>
      </c>
    </row>
    <row r="114" spans="1:10" x14ac:dyDescent="0.3">
      <c r="A114">
        <v>113</v>
      </c>
      <c r="B114" s="1" t="s">
        <v>9</v>
      </c>
      <c r="C114" s="1" t="s">
        <v>14</v>
      </c>
      <c r="D114" s="2">
        <v>39.700000000000003</v>
      </c>
      <c r="E114" s="2">
        <v>17.7</v>
      </c>
      <c r="F114" s="2">
        <v>193</v>
      </c>
      <c r="G114" s="2">
        <v>3200</v>
      </c>
      <c r="H114" s="1" t="s">
        <v>12</v>
      </c>
      <c r="I114">
        <v>2009</v>
      </c>
      <c r="J114" s="1">
        <f>penglings[[#This Row],[bill_length_mm]]/2</f>
        <v>19.850000000000001</v>
      </c>
    </row>
    <row r="115" spans="1:10" x14ac:dyDescent="0.3">
      <c r="A115">
        <v>114</v>
      </c>
      <c r="B115" s="1" t="s">
        <v>9</v>
      </c>
      <c r="C115" s="1" t="s">
        <v>14</v>
      </c>
      <c r="D115" s="2">
        <v>42.2</v>
      </c>
      <c r="E115" s="2">
        <v>19.5</v>
      </c>
      <c r="F115" s="2">
        <v>197</v>
      </c>
      <c r="G115" s="2">
        <v>4275</v>
      </c>
      <c r="H115" s="1" t="s">
        <v>11</v>
      </c>
      <c r="I115">
        <v>2009</v>
      </c>
      <c r="J115" s="1">
        <f>penglings[[#This Row],[bill_length_mm]]/2</f>
        <v>21.1</v>
      </c>
    </row>
    <row r="116" spans="1:10" x14ac:dyDescent="0.3">
      <c r="A116">
        <v>115</v>
      </c>
      <c r="B116" s="1" t="s">
        <v>9</v>
      </c>
      <c r="C116" s="1" t="s">
        <v>14</v>
      </c>
      <c r="D116" s="2">
        <v>39.6</v>
      </c>
      <c r="E116" s="2">
        <v>20.7</v>
      </c>
      <c r="F116" s="2">
        <v>191</v>
      </c>
      <c r="G116" s="2">
        <v>3900</v>
      </c>
      <c r="H116" s="1" t="s">
        <v>12</v>
      </c>
      <c r="I116">
        <v>2009</v>
      </c>
      <c r="J116" s="1">
        <f>penglings[[#This Row],[bill_length_mm]]/2</f>
        <v>19.8</v>
      </c>
    </row>
    <row r="117" spans="1:10" x14ac:dyDescent="0.3">
      <c r="A117">
        <v>116</v>
      </c>
      <c r="B117" s="1" t="s">
        <v>9</v>
      </c>
      <c r="C117" s="1" t="s">
        <v>14</v>
      </c>
      <c r="D117" s="2">
        <v>42.7</v>
      </c>
      <c r="E117" s="2">
        <v>18.3</v>
      </c>
      <c r="F117" s="2">
        <v>196</v>
      </c>
      <c r="G117" s="2">
        <v>4075</v>
      </c>
      <c r="H117" s="1" t="s">
        <v>11</v>
      </c>
      <c r="I117">
        <v>2009</v>
      </c>
      <c r="J117" s="1">
        <f>penglings[[#This Row],[bill_length_mm]]/2</f>
        <v>21.35</v>
      </c>
    </row>
    <row r="118" spans="1:10" x14ac:dyDescent="0.3">
      <c r="A118">
        <v>117</v>
      </c>
      <c r="B118" s="1" t="s">
        <v>9</v>
      </c>
      <c r="C118" s="1" t="s">
        <v>10</v>
      </c>
      <c r="D118" s="2">
        <v>38.6</v>
      </c>
      <c r="E118" s="2">
        <v>17</v>
      </c>
      <c r="F118" s="2">
        <v>188</v>
      </c>
      <c r="G118" s="2">
        <v>2900</v>
      </c>
      <c r="H118" s="1" t="s">
        <v>12</v>
      </c>
      <c r="I118">
        <v>2009</v>
      </c>
      <c r="J118" s="1">
        <f>penglings[[#This Row],[bill_length_mm]]/2</f>
        <v>19.3</v>
      </c>
    </row>
    <row r="119" spans="1:10" x14ac:dyDescent="0.3">
      <c r="A119">
        <v>118</v>
      </c>
      <c r="B119" s="1" t="s">
        <v>9</v>
      </c>
      <c r="C119" s="1" t="s">
        <v>10</v>
      </c>
      <c r="D119" s="2">
        <v>37.299999999999997</v>
      </c>
      <c r="E119" s="2">
        <v>20.5</v>
      </c>
      <c r="F119" s="2">
        <v>199</v>
      </c>
      <c r="G119" s="2">
        <v>3775</v>
      </c>
      <c r="H119" s="1" t="s">
        <v>11</v>
      </c>
      <c r="I119">
        <v>2009</v>
      </c>
      <c r="J119" s="1">
        <f>penglings[[#This Row],[bill_length_mm]]/2</f>
        <v>18.649999999999999</v>
      </c>
    </row>
    <row r="120" spans="1:10" x14ac:dyDescent="0.3">
      <c r="A120">
        <v>119</v>
      </c>
      <c r="B120" s="1" t="s">
        <v>9</v>
      </c>
      <c r="C120" s="1" t="s">
        <v>10</v>
      </c>
      <c r="D120" s="2">
        <v>35.700000000000003</v>
      </c>
      <c r="E120" s="2">
        <v>17</v>
      </c>
      <c r="F120" s="2">
        <v>189</v>
      </c>
      <c r="G120" s="2">
        <v>3350</v>
      </c>
      <c r="H120" s="1" t="s">
        <v>12</v>
      </c>
      <c r="I120">
        <v>2009</v>
      </c>
      <c r="J120" s="1">
        <f>penglings[[#This Row],[bill_length_mm]]/2</f>
        <v>17.850000000000001</v>
      </c>
    </row>
    <row r="121" spans="1:10" x14ac:dyDescent="0.3">
      <c r="A121">
        <v>120</v>
      </c>
      <c r="B121" s="1" t="s">
        <v>9</v>
      </c>
      <c r="C121" s="1" t="s">
        <v>10</v>
      </c>
      <c r="D121" s="2">
        <v>41.1</v>
      </c>
      <c r="E121" s="2">
        <v>18.600000000000001</v>
      </c>
      <c r="F121" s="2">
        <v>189</v>
      </c>
      <c r="G121" s="2">
        <v>3325</v>
      </c>
      <c r="H121" s="1" t="s">
        <v>11</v>
      </c>
      <c r="I121">
        <v>2009</v>
      </c>
      <c r="J121" s="1">
        <f>penglings[[#This Row],[bill_length_mm]]/2</f>
        <v>20.55</v>
      </c>
    </row>
    <row r="122" spans="1:10" x14ac:dyDescent="0.3">
      <c r="A122">
        <v>121</v>
      </c>
      <c r="B122" s="1" t="s">
        <v>9</v>
      </c>
      <c r="C122" s="1" t="s">
        <v>10</v>
      </c>
      <c r="D122" s="2">
        <v>36.200000000000003</v>
      </c>
      <c r="E122" s="2">
        <v>17.2</v>
      </c>
      <c r="F122" s="2">
        <v>187</v>
      </c>
      <c r="G122" s="2">
        <v>3150</v>
      </c>
      <c r="H122" s="1" t="s">
        <v>12</v>
      </c>
      <c r="I122">
        <v>2009</v>
      </c>
      <c r="J122" s="1">
        <f>penglings[[#This Row],[bill_length_mm]]/2</f>
        <v>18.100000000000001</v>
      </c>
    </row>
    <row r="123" spans="1:10" x14ac:dyDescent="0.3">
      <c r="A123">
        <v>122</v>
      </c>
      <c r="B123" s="1" t="s">
        <v>9</v>
      </c>
      <c r="C123" s="1" t="s">
        <v>10</v>
      </c>
      <c r="D123" s="2">
        <v>37.700000000000003</v>
      </c>
      <c r="E123" s="2">
        <v>19.8</v>
      </c>
      <c r="F123" s="2">
        <v>198</v>
      </c>
      <c r="G123" s="2">
        <v>3500</v>
      </c>
      <c r="H123" s="1" t="s">
        <v>11</v>
      </c>
      <c r="I123">
        <v>2009</v>
      </c>
      <c r="J123" s="1">
        <f>penglings[[#This Row],[bill_length_mm]]/2</f>
        <v>18.850000000000001</v>
      </c>
    </row>
    <row r="124" spans="1:10" x14ac:dyDescent="0.3">
      <c r="A124">
        <v>123</v>
      </c>
      <c r="B124" s="1" t="s">
        <v>9</v>
      </c>
      <c r="C124" s="1" t="s">
        <v>10</v>
      </c>
      <c r="D124" s="2">
        <v>40.200000000000003</v>
      </c>
      <c r="E124" s="2">
        <v>17</v>
      </c>
      <c r="F124" s="2">
        <v>176</v>
      </c>
      <c r="G124" s="2">
        <v>3450</v>
      </c>
      <c r="H124" s="1" t="s">
        <v>12</v>
      </c>
      <c r="I124">
        <v>2009</v>
      </c>
      <c r="J124" s="1">
        <f>penglings[[#This Row],[bill_length_mm]]/2</f>
        <v>20.100000000000001</v>
      </c>
    </row>
    <row r="125" spans="1:10" x14ac:dyDescent="0.3">
      <c r="A125">
        <v>124</v>
      </c>
      <c r="B125" s="1" t="s">
        <v>9</v>
      </c>
      <c r="C125" s="1" t="s">
        <v>10</v>
      </c>
      <c r="D125" s="2">
        <v>41.4</v>
      </c>
      <c r="E125" s="2">
        <v>18.5</v>
      </c>
      <c r="F125" s="2">
        <v>202</v>
      </c>
      <c r="G125" s="2">
        <v>3875</v>
      </c>
      <c r="H125" s="1" t="s">
        <v>11</v>
      </c>
      <c r="I125">
        <v>2009</v>
      </c>
      <c r="J125" s="1">
        <f>penglings[[#This Row],[bill_length_mm]]/2</f>
        <v>20.7</v>
      </c>
    </row>
    <row r="126" spans="1:10" x14ac:dyDescent="0.3">
      <c r="A126">
        <v>125</v>
      </c>
      <c r="B126" s="1" t="s">
        <v>9</v>
      </c>
      <c r="C126" s="1" t="s">
        <v>10</v>
      </c>
      <c r="D126" s="2">
        <v>35.200000000000003</v>
      </c>
      <c r="E126" s="2">
        <v>15.9</v>
      </c>
      <c r="F126" s="2">
        <v>186</v>
      </c>
      <c r="G126" s="2">
        <v>3050</v>
      </c>
      <c r="H126" s="1" t="s">
        <v>12</v>
      </c>
      <c r="I126">
        <v>2009</v>
      </c>
      <c r="J126" s="1">
        <f>penglings[[#This Row],[bill_length_mm]]/2</f>
        <v>17.600000000000001</v>
      </c>
    </row>
    <row r="127" spans="1:10" x14ac:dyDescent="0.3">
      <c r="A127">
        <v>126</v>
      </c>
      <c r="B127" s="1" t="s">
        <v>9</v>
      </c>
      <c r="C127" s="1" t="s">
        <v>10</v>
      </c>
      <c r="D127" s="2">
        <v>40.6</v>
      </c>
      <c r="E127" s="2">
        <v>19</v>
      </c>
      <c r="F127" s="2">
        <v>199</v>
      </c>
      <c r="G127" s="2">
        <v>4000</v>
      </c>
      <c r="H127" s="1" t="s">
        <v>11</v>
      </c>
      <c r="I127">
        <v>2009</v>
      </c>
      <c r="J127" s="1">
        <f>penglings[[#This Row],[bill_length_mm]]/2</f>
        <v>20.3</v>
      </c>
    </row>
    <row r="128" spans="1:10" x14ac:dyDescent="0.3">
      <c r="A128">
        <v>127</v>
      </c>
      <c r="B128" s="1" t="s">
        <v>9</v>
      </c>
      <c r="C128" s="1" t="s">
        <v>10</v>
      </c>
      <c r="D128" s="2">
        <v>38.799999999999997</v>
      </c>
      <c r="E128" s="2">
        <v>17.600000000000001</v>
      </c>
      <c r="F128" s="2">
        <v>191</v>
      </c>
      <c r="G128" s="2">
        <v>3275</v>
      </c>
      <c r="H128" s="1" t="s">
        <v>12</v>
      </c>
      <c r="I128">
        <v>2009</v>
      </c>
      <c r="J128" s="1">
        <f>penglings[[#This Row],[bill_length_mm]]/2</f>
        <v>19.399999999999999</v>
      </c>
    </row>
    <row r="129" spans="1:10" x14ac:dyDescent="0.3">
      <c r="A129">
        <v>128</v>
      </c>
      <c r="B129" s="1" t="s">
        <v>9</v>
      </c>
      <c r="C129" s="1" t="s">
        <v>10</v>
      </c>
      <c r="D129" s="2">
        <v>41.5</v>
      </c>
      <c r="E129" s="2">
        <v>18.3</v>
      </c>
      <c r="F129" s="2">
        <v>195</v>
      </c>
      <c r="G129" s="2">
        <v>4300</v>
      </c>
      <c r="H129" s="1" t="s">
        <v>11</v>
      </c>
      <c r="I129">
        <v>2009</v>
      </c>
      <c r="J129" s="1">
        <f>penglings[[#This Row],[bill_length_mm]]/2</f>
        <v>20.75</v>
      </c>
    </row>
    <row r="130" spans="1:10" x14ac:dyDescent="0.3">
      <c r="A130">
        <v>129</v>
      </c>
      <c r="B130" s="1" t="s">
        <v>9</v>
      </c>
      <c r="C130" s="1" t="s">
        <v>10</v>
      </c>
      <c r="D130" s="2">
        <v>39</v>
      </c>
      <c r="E130" s="2">
        <v>17.100000000000001</v>
      </c>
      <c r="F130" s="2">
        <v>191</v>
      </c>
      <c r="G130" s="2">
        <v>3050</v>
      </c>
      <c r="H130" s="1" t="s">
        <v>12</v>
      </c>
      <c r="I130">
        <v>2009</v>
      </c>
      <c r="J130" s="1">
        <f>penglings[[#This Row],[bill_length_mm]]/2</f>
        <v>19.5</v>
      </c>
    </row>
    <row r="131" spans="1:10" x14ac:dyDescent="0.3">
      <c r="A131">
        <v>130</v>
      </c>
      <c r="B131" s="1" t="s">
        <v>9</v>
      </c>
      <c r="C131" s="1" t="s">
        <v>10</v>
      </c>
      <c r="D131" s="2">
        <v>44.1</v>
      </c>
      <c r="E131" s="2">
        <v>18</v>
      </c>
      <c r="F131" s="2">
        <v>210</v>
      </c>
      <c r="G131" s="2">
        <v>4000</v>
      </c>
      <c r="H131" s="1" t="s">
        <v>11</v>
      </c>
      <c r="I131">
        <v>2009</v>
      </c>
      <c r="J131" s="1">
        <f>penglings[[#This Row],[bill_length_mm]]/2</f>
        <v>22.05</v>
      </c>
    </row>
    <row r="132" spans="1:10" x14ac:dyDescent="0.3">
      <c r="A132">
        <v>131</v>
      </c>
      <c r="B132" s="1" t="s">
        <v>9</v>
      </c>
      <c r="C132" s="1" t="s">
        <v>10</v>
      </c>
      <c r="D132" s="2">
        <v>38.5</v>
      </c>
      <c r="E132" s="2">
        <v>17.899999999999999</v>
      </c>
      <c r="F132" s="2">
        <v>190</v>
      </c>
      <c r="G132" s="2">
        <v>3325</v>
      </c>
      <c r="H132" s="1" t="s">
        <v>12</v>
      </c>
      <c r="I132">
        <v>2009</v>
      </c>
      <c r="J132" s="1">
        <f>penglings[[#This Row],[bill_length_mm]]/2</f>
        <v>19.25</v>
      </c>
    </row>
    <row r="133" spans="1:10" x14ac:dyDescent="0.3">
      <c r="A133">
        <v>132</v>
      </c>
      <c r="B133" s="1" t="s">
        <v>9</v>
      </c>
      <c r="C133" s="1" t="s">
        <v>10</v>
      </c>
      <c r="D133" s="2">
        <v>43.1</v>
      </c>
      <c r="E133" s="2">
        <v>19.2</v>
      </c>
      <c r="F133" s="2">
        <v>197</v>
      </c>
      <c r="G133" s="2">
        <v>3500</v>
      </c>
      <c r="H133" s="1" t="s">
        <v>11</v>
      </c>
      <c r="I133">
        <v>2009</v>
      </c>
      <c r="J133" s="1">
        <f>penglings[[#This Row],[bill_length_mm]]/2</f>
        <v>21.55</v>
      </c>
    </row>
    <row r="134" spans="1:10" x14ac:dyDescent="0.3">
      <c r="A134">
        <v>133</v>
      </c>
      <c r="B134" s="1" t="s">
        <v>9</v>
      </c>
      <c r="C134" s="1" t="s">
        <v>15</v>
      </c>
      <c r="D134" s="2">
        <v>36.799999999999997</v>
      </c>
      <c r="E134" s="2">
        <v>18.5</v>
      </c>
      <c r="F134" s="2">
        <v>193</v>
      </c>
      <c r="G134" s="2">
        <v>3500</v>
      </c>
      <c r="H134" s="1" t="s">
        <v>12</v>
      </c>
      <c r="I134">
        <v>2009</v>
      </c>
      <c r="J134" s="1">
        <f>penglings[[#This Row],[bill_length_mm]]/2</f>
        <v>18.399999999999999</v>
      </c>
    </row>
    <row r="135" spans="1:10" x14ac:dyDescent="0.3">
      <c r="A135">
        <v>134</v>
      </c>
      <c r="B135" s="1" t="s">
        <v>9</v>
      </c>
      <c r="C135" s="1" t="s">
        <v>15</v>
      </c>
      <c r="D135" s="2">
        <v>37.5</v>
      </c>
      <c r="E135" s="2">
        <v>18.5</v>
      </c>
      <c r="F135" s="2">
        <v>199</v>
      </c>
      <c r="G135" s="2">
        <v>4475</v>
      </c>
      <c r="H135" s="1" t="s">
        <v>11</v>
      </c>
      <c r="I135">
        <v>2009</v>
      </c>
      <c r="J135" s="1">
        <f>penglings[[#This Row],[bill_length_mm]]/2</f>
        <v>18.75</v>
      </c>
    </row>
    <row r="136" spans="1:10" x14ac:dyDescent="0.3">
      <c r="A136">
        <v>135</v>
      </c>
      <c r="B136" s="1" t="s">
        <v>9</v>
      </c>
      <c r="C136" s="1" t="s">
        <v>15</v>
      </c>
      <c r="D136" s="2">
        <v>38.1</v>
      </c>
      <c r="E136" s="2">
        <v>17.600000000000001</v>
      </c>
      <c r="F136" s="2">
        <v>187</v>
      </c>
      <c r="G136" s="2">
        <v>3425</v>
      </c>
      <c r="H136" s="1" t="s">
        <v>12</v>
      </c>
      <c r="I136">
        <v>2009</v>
      </c>
      <c r="J136" s="1">
        <f>penglings[[#This Row],[bill_length_mm]]/2</f>
        <v>19.05</v>
      </c>
    </row>
    <row r="137" spans="1:10" x14ac:dyDescent="0.3">
      <c r="A137">
        <v>136</v>
      </c>
      <c r="B137" s="1" t="s">
        <v>9</v>
      </c>
      <c r="C137" s="1" t="s">
        <v>15</v>
      </c>
      <c r="D137" s="2">
        <v>41.1</v>
      </c>
      <c r="E137" s="2">
        <v>17.5</v>
      </c>
      <c r="F137" s="2">
        <v>190</v>
      </c>
      <c r="G137" s="2">
        <v>3900</v>
      </c>
      <c r="H137" s="1" t="s">
        <v>11</v>
      </c>
      <c r="I137">
        <v>2009</v>
      </c>
      <c r="J137" s="1">
        <f>penglings[[#This Row],[bill_length_mm]]/2</f>
        <v>20.55</v>
      </c>
    </row>
    <row r="138" spans="1:10" x14ac:dyDescent="0.3">
      <c r="A138">
        <v>137</v>
      </c>
      <c r="B138" s="1" t="s">
        <v>9</v>
      </c>
      <c r="C138" s="1" t="s">
        <v>15</v>
      </c>
      <c r="D138" s="2">
        <v>35.6</v>
      </c>
      <c r="E138" s="2">
        <v>17.5</v>
      </c>
      <c r="F138" s="2">
        <v>191</v>
      </c>
      <c r="G138" s="2">
        <v>3175</v>
      </c>
      <c r="H138" s="1" t="s">
        <v>12</v>
      </c>
      <c r="I138">
        <v>2009</v>
      </c>
      <c r="J138" s="1">
        <f>penglings[[#This Row],[bill_length_mm]]/2</f>
        <v>17.8</v>
      </c>
    </row>
    <row r="139" spans="1:10" x14ac:dyDescent="0.3">
      <c r="A139">
        <v>138</v>
      </c>
      <c r="B139" s="1" t="s">
        <v>9</v>
      </c>
      <c r="C139" s="1" t="s">
        <v>15</v>
      </c>
      <c r="D139" s="2">
        <v>40.200000000000003</v>
      </c>
      <c r="E139" s="2">
        <v>20.100000000000001</v>
      </c>
      <c r="F139" s="2">
        <v>200</v>
      </c>
      <c r="G139" s="2">
        <v>3975</v>
      </c>
      <c r="H139" s="1" t="s">
        <v>11</v>
      </c>
      <c r="I139">
        <v>2009</v>
      </c>
      <c r="J139" s="1">
        <f>penglings[[#This Row],[bill_length_mm]]/2</f>
        <v>20.100000000000001</v>
      </c>
    </row>
    <row r="140" spans="1:10" x14ac:dyDescent="0.3">
      <c r="A140">
        <v>139</v>
      </c>
      <c r="B140" s="1" t="s">
        <v>9</v>
      </c>
      <c r="C140" s="1" t="s">
        <v>15</v>
      </c>
      <c r="D140" s="2">
        <v>37</v>
      </c>
      <c r="E140" s="2">
        <v>16.5</v>
      </c>
      <c r="F140" s="2">
        <v>185</v>
      </c>
      <c r="G140" s="2">
        <v>3400</v>
      </c>
      <c r="H140" s="1" t="s">
        <v>12</v>
      </c>
      <c r="I140">
        <v>2009</v>
      </c>
      <c r="J140" s="1">
        <f>penglings[[#This Row],[bill_length_mm]]/2</f>
        <v>18.5</v>
      </c>
    </row>
    <row r="141" spans="1:10" x14ac:dyDescent="0.3">
      <c r="A141">
        <v>140</v>
      </c>
      <c r="B141" s="1" t="s">
        <v>9</v>
      </c>
      <c r="C141" s="1" t="s">
        <v>15</v>
      </c>
      <c r="D141" s="2">
        <v>39.700000000000003</v>
      </c>
      <c r="E141" s="2">
        <v>17.899999999999999</v>
      </c>
      <c r="F141" s="2">
        <v>193</v>
      </c>
      <c r="G141" s="2">
        <v>4250</v>
      </c>
      <c r="H141" s="1" t="s">
        <v>11</v>
      </c>
      <c r="I141">
        <v>2009</v>
      </c>
      <c r="J141" s="1">
        <f>penglings[[#This Row],[bill_length_mm]]/2</f>
        <v>19.850000000000001</v>
      </c>
    </row>
    <row r="142" spans="1:10" x14ac:dyDescent="0.3">
      <c r="A142">
        <v>141</v>
      </c>
      <c r="B142" s="1" t="s">
        <v>9</v>
      </c>
      <c r="C142" s="1" t="s">
        <v>15</v>
      </c>
      <c r="D142" s="2">
        <v>40.200000000000003</v>
      </c>
      <c r="E142" s="2">
        <v>17.100000000000001</v>
      </c>
      <c r="F142" s="2">
        <v>193</v>
      </c>
      <c r="G142" s="2">
        <v>3400</v>
      </c>
      <c r="H142" s="1" t="s">
        <v>12</v>
      </c>
      <c r="I142">
        <v>2009</v>
      </c>
      <c r="J142" s="1">
        <f>penglings[[#This Row],[bill_length_mm]]/2</f>
        <v>20.100000000000001</v>
      </c>
    </row>
    <row r="143" spans="1:10" x14ac:dyDescent="0.3">
      <c r="A143">
        <v>142</v>
      </c>
      <c r="B143" s="1" t="s">
        <v>9</v>
      </c>
      <c r="C143" s="1" t="s">
        <v>15</v>
      </c>
      <c r="D143" s="2">
        <v>40.6</v>
      </c>
      <c r="E143" s="2">
        <v>17.2</v>
      </c>
      <c r="F143" s="2">
        <v>187</v>
      </c>
      <c r="G143" s="2">
        <v>3475</v>
      </c>
      <c r="H143" s="1" t="s">
        <v>11</v>
      </c>
      <c r="I143">
        <v>2009</v>
      </c>
      <c r="J143" s="1">
        <f>penglings[[#This Row],[bill_length_mm]]/2</f>
        <v>20.3</v>
      </c>
    </row>
    <row r="144" spans="1:10" x14ac:dyDescent="0.3">
      <c r="A144">
        <v>143</v>
      </c>
      <c r="B144" s="1" t="s">
        <v>9</v>
      </c>
      <c r="C144" s="1" t="s">
        <v>15</v>
      </c>
      <c r="D144" s="2">
        <v>32.1</v>
      </c>
      <c r="E144" s="2">
        <v>15.5</v>
      </c>
      <c r="F144" s="2">
        <v>188</v>
      </c>
      <c r="G144" s="2">
        <v>3050</v>
      </c>
      <c r="H144" s="1" t="s">
        <v>12</v>
      </c>
      <c r="I144">
        <v>2009</v>
      </c>
      <c r="J144" s="1">
        <f>penglings[[#This Row],[bill_length_mm]]/2</f>
        <v>16.05</v>
      </c>
    </row>
    <row r="145" spans="1:10" x14ac:dyDescent="0.3">
      <c r="A145">
        <v>144</v>
      </c>
      <c r="B145" s="1" t="s">
        <v>9</v>
      </c>
      <c r="C145" s="1" t="s">
        <v>15</v>
      </c>
      <c r="D145" s="2">
        <v>40.700000000000003</v>
      </c>
      <c r="E145" s="2">
        <v>17</v>
      </c>
      <c r="F145" s="2">
        <v>190</v>
      </c>
      <c r="G145" s="2">
        <v>3725</v>
      </c>
      <c r="H145" s="1" t="s">
        <v>11</v>
      </c>
      <c r="I145">
        <v>2009</v>
      </c>
      <c r="J145" s="1">
        <f>penglings[[#This Row],[bill_length_mm]]/2</f>
        <v>20.350000000000001</v>
      </c>
    </row>
    <row r="146" spans="1:10" x14ac:dyDescent="0.3">
      <c r="A146">
        <v>145</v>
      </c>
      <c r="B146" s="1" t="s">
        <v>9</v>
      </c>
      <c r="C146" s="1" t="s">
        <v>15</v>
      </c>
      <c r="D146" s="2">
        <v>37.299999999999997</v>
      </c>
      <c r="E146" s="2">
        <v>16.8</v>
      </c>
      <c r="F146" s="2">
        <v>192</v>
      </c>
      <c r="G146" s="2">
        <v>3000</v>
      </c>
      <c r="H146" s="1" t="s">
        <v>12</v>
      </c>
      <c r="I146">
        <v>2009</v>
      </c>
      <c r="J146" s="1">
        <f>penglings[[#This Row],[bill_length_mm]]/2</f>
        <v>18.649999999999999</v>
      </c>
    </row>
    <row r="147" spans="1:10" x14ac:dyDescent="0.3">
      <c r="A147">
        <v>146</v>
      </c>
      <c r="B147" s="1" t="s">
        <v>9</v>
      </c>
      <c r="C147" s="1" t="s">
        <v>15</v>
      </c>
      <c r="D147" s="2">
        <v>39</v>
      </c>
      <c r="E147" s="2">
        <v>18.7</v>
      </c>
      <c r="F147" s="2">
        <v>185</v>
      </c>
      <c r="G147" s="2">
        <v>3650</v>
      </c>
      <c r="H147" s="1" t="s">
        <v>11</v>
      </c>
      <c r="I147">
        <v>2009</v>
      </c>
      <c r="J147" s="1">
        <f>penglings[[#This Row],[bill_length_mm]]/2</f>
        <v>19.5</v>
      </c>
    </row>
    <row r="148" spans="1:10" x14ac:dyDescent="0.3">
      <c r="A148">
        <v>147</v>
      </c>
      <c r="B148" s="1" t="s">
        <v>9</v>
      </c>
      <c r="C148" s="1" t="s">
        <v>15</v>
      </c>
      <c r="D148" s="2">
        <v>39.200000000000003</v>
      </c>
      <c r="E148" s="2">
        <v>18.600000000000001</v>
      </c>
      <c r="F148" s="2">
        <v>190</v>
      </c>
      <c r="G148" s="2">
        <v>4250</v>
      </c>
      <c r="H148" s="1" t="s">
        <v>11</v>
      </c>
      <c r="I148">
        <v>2009</v>
      </c>
      <c r="J148" s="1">
        <f>penglings[[#This Row],[bill_length_mm]]/2</f>
        <v>19.600000000000001</v>
      </c>
    </row>
    <row r="149" spans="1:10" x14ac:dyDescent="0.3">
      <c r="A149">
        <v>148</v>
      </c>
      <c r="B149" s="1" t="s">
        <v>9</v>
      </c>
      <c r="C149" s="1" t="s">
        <v>15</v>
      </c>
      <c r="D149" s="2">
        <v>36.6</v>
      </c>
      <c r="E149" s="2">
        <v>18.399999999999999</v>
      </c>
      <c r="F149" s="2">
        <v>184</v>
      </c>
      <c r="G149" s="2">
        <v>3475</v>
      </c>
      <c r="H149" s="1" t="s">
        <v>12</v>
      </c>
      <c r="I149">
        <v>2009</v>
      </c>
      <c r="J149" s="1">
        <f>penglings[[#This Row],[bill_length_mm]]/2</f>
        <v>18.3</v>
      </c>
    </row>
    <row r="150" spans="1:10" x14ac:dyDescent="0.3">
      <c r="A150">
        <v>149</v>
      </c>
      <c r="B150" s="1" t="s">
        <v>9</v>
      </c>
      <c r="C150" s="1" t="s">
        <v>15</v>
      </c>
      <c r="D150" s="2">
        <v>36</v>
      </c>
      <c r="E150" s="2">
        <v>17.8</v>
      </c>
      <c r="F150" s="2">
        <v>195</v>
      </c>
      <c r="G150" s="2">
        <v>3450</v>
      </c>
      <c r="H150" s="1" t="s">
        <v>12</v>
      </c>
      <c r="I150">
        <v>2009</v>
      </c>
      <c r="J150" s="1">
        <f>penglings[[#This Row],[bill_length_mm]]/2</f>
        <v>18</v>
      </c>
    </row>
    <row r="151" spans="1:10" x14ac:dyDescent="0.3">
      <c r="A151">
        <v>150</v>
      </c>
      <c r="B151" s="1" t="s">
        <v>9</v>
      </c>
      <c r="C151" s="1" t="s">
        <v>15</v>
      </c>
      <c r="D151" s="2">
        <v>37.799999999999997</v>
      </c>
      <c r="E151" s="2">
        <v>18.100000000000001</v>
      </c>
      <c r="F151" s="2">
        <v>193</v>
      </c>
      <c r="G151" s="2">
        <v>3750</v>
      </c>
      <c r="H151" s="1" t="s">
        <v>11</v>
      </c>
      <c r="I151">
        <v>2009</v>
      </c>
      <c r="J151" s="1">
        <f>penglings[[#This Row],[bill_length_mm]]/2</f>
        <v>18.899999999999999</v>
      </c>
    </row>
    <row r="152" spans="1:10" x14ac:dyDescent="0.3">
      <c r="A152">
        <v>151</v>
      </c>
      <c r="B152" s="1" t="s">
        <v>9</v>
      </c>
      <c r="C152" s="1" t="s">
        <v>15</v>
      </c>
      <c r="D152" s="2">
        <v>36</v>
      </c>
      <c r="E152" s="2">
        <v>17.100000000000001</v>
      </c>
      <c r="F152" s="2">
        <v>187</v>
      </c>
      <c r="G152" s="2">
        <v>3700</v>
      </c>
      <c r="H152" s="1" t="s">
        <v>12</v>
      </c>
      <c r="I152">
        <v>2009</v>
      </c>
      <c r="J152" s="1">
        <f>penglings[[#This Row],[bill_length_mm]]/2</f>
        <v>18</v>
      </c>
    </row>
    <row r="153" spans="1:10" x14ac:dyDescent="0.3">
      <c r="A153">
        <v>152</v>
      </c>
      <c r="B153" s="1" t="s">
        <v>9</v>
      </c>
      <c r="C153" s="1" t="s">
        <v>15</v>
      </c>
      <c r="D153" s="2">
        <v>41.5</v>
      </c>
      <c r="E153" s="2">
        <v>18.5</v>
      </c>
      <c r="F153" s="2">
        <v>201</v>
      </c>
      <c r="G153" s="2">
        <v>4000</v>
      </c>
      <c r="H153" s="1" t="s">
        <v>11</v>
      </c>
      <c r="I153">
        <v>2009</v>
      </c>
      <c r="J153" s="1">
        <f>penglings[[#This Row],[bill_length_mm]]/2</f>
        <v>20.75</v>
      </c>
    </row>
    <row r="154" spans="1:10" x14ac:dyDescent="0.3">
      <c r="A154">
        <v>153</v>
      </c>
      <c r="B154" s="1" t="s">
        <v>16</v>
      </c>
      <c r="C154" s="1" t="s">
        <v>14</v>
      </c>
      <c r="D154" s="2">
        <v>46.1</v>
      </c>
      <c r="E154" s="2">
        <v>13.2</v>
      </c>
      <c r="F154" s="2">
        <v>211</v>
      </c>
      <c r="G154" s="2">
        <v>4500</v>
      </c>
      <c r="H154" s="1" t="s">
        <v>12</v>
      </c>
      <c r="I154">
        <v>2007</v>
      </c>
      <c r="J154" s="1">
        <f>penglings[[#This Row],[bill_length_mm]]/2</f>
        <v>23.05</v>
      </c>
    </row>
    <row r="155" spans="1:10" x14ac:dyDescent="0.3">
      <c r="A155">
        <v>154</v>
      </c>
      <c r="B155" s="1" t="s">
        <v>16</v>
      </c>
      <c r="C155" s="1" t="s">
        <v>14</v>
      </c>
      <c r="D155" s="2">
        <v>50</v>
      </c>
      <c r="E155" s="2">
        <v>16.3</v>
      </c>
      <c r="F155" s="2">
        <v>230</v>
      </c>
      <c r="G155" s="2">
        <v>5700</v>
      </c>
      <c r="H155" s="1" t="s">
        <v>11</v>
      </c>
      <c r="I155">
        <v>2007</v>
      </c>
      <c r="J155" s="1">
        <f>penglings[[#This Row],[bill_length_mm]]/2</f>
        <v>25</v>
      </c>
    </row>
    <row r="156" spans="1:10" x14ac:dyDescent="0.3">
      <c r="A156">
        <v>155</v>
      </c>
      <c r="B156" s="1" t="s">
        <v>16</v>
      </c>
      <c r="C156" s="1" t="s">
        <v>14</v>
      </c>
      <c r="D156" s="2">
        <v>48.7</v>
      </c>
      <c r="E156" s="2">
        <v>14.1</v>
      </c>
      <c r="F156" s="2">
        <v>210</v>
      </c>
      <c r="G156" s="2">
        <v>4450</v>
      </c>
      <c r="H156" s="1" t="s">
        <v>12</v>
      </c>
      <c r="I156">
        <v>2007</v>
      </c>
      <c r="J156" s="1">
        <f>penglings[[#This Row],[bill_length_mm]]/2</f>
        <v>24.35</v>
      </c>
    </row>
    <row r="157" spans="1:10" x14ac:dyDescent="0.3">
      <c r="A157">
        <v>156</v>
      </c>
      <c r="B157" s="1" t="s">
        <v>16</v>
      </c>
      <c r="C157" s="1" t="s">
        <v>14</v>
      </c>
      <c r="D157" s="2">
        <v>50</v>
      </c>
      <c r="E157" s="2">
        <v>15.2</v>
      </c>
      <c r="F157" s="2">
        <v>218</v>
      </c>
      <c r="G157" s="2">
        <v>5700</v>
      </c>
      <c r="H157" s="1" t="s">
        <v>11</v>
      </c>
      <c r="I157">
        <v>2007</v>
      </c>
      <c r="J157" s="1">
        <f>penglings[[#This Row],[bill_length_mm]]/2</f>
        <v>25</v>
      </c>
    </row>
    <row r="158" spans="1:10" x14ac:dyDescent="0.3">
      <c r="A158">
        <v>157</v>
      </c>
      <c r="B158" s="1" t="s">
        <v>16</v>
      </c>
      <c r="C158" s="1" t="s">
        <v>14</v>
      </c>
      <c r="D158" s="2">
        <v>47.6</v>
      </c>
      <c r="E158" s="2">
        <v>14.5</v>
      </c>
      <c r="F158" s="2">
        <v>215</v>
      </c>
      <c r="G158" s="2">
        <v>5400</v>
      </c>
      <c r="H158" s="1" t="s">
        <v>11</v>
      </c>
      <c r="I158">
        <v>2007</v>
      </c>
      <c r="J158" s="1">
        <f>penglings[[#This Row],[bill_length_mm]]/2</f>
        <v>23.8</v>
      </c>
    </row>
    <row r="159" spans="1:10" x14ac:dyDescent="0.3">
      <c r="A159">
        <v>158</v>
      </c>
      <c r="B159" s="1" t="s">
        <v>16</v>
      </c>
      <c r="C159" s="1" t="s">
        <v>14</v>
      </c>
      <c r="D159" s="2">
        <v>46.5</v>
      </c>
      <c r="E159" s="2">
        <v>13.5</v>
      </c>
      <c r="F159" s="2">
        <v>210</v>
      </c>
      <c r="G159" s="2">
        <v>4550</v>
      </c>
      <c r="H159" s="1" t="s">
        <v>12</v>
      </c>
      <c r="I159">
        <v>2007</v>
      </c>
      <c r="J159" s="1">
        <f>penglings[[#This Row],[bill_length_mm]]/2</f>
        <v>23.25</v>
      </c>
    </row>
    <row r="160" spans="1:10" x14ac:dyDescent="0.3">
      <c r="A160">
        <v>159</v>
      </c>
      <c r="B160" s="1" t="s">
        <v>16</v>
      </c>
      <c r="C160" s="1" t="s">
        <v>14</v>
      </c>
      <c r="D160" s="2">
        <v>45.4</v>
      </c>
      <c r="E160" s="2">
        <v>14.6</v>
      </c>
      <c r="F160" s="2">
        <v>211</v>
      </c>
      <c r="G160" s="2">
        <v>4800</v>
      </c>
      <c r="H160" s="1" t="s">
        <v>12</v>
      </c>
      <c r="I160">
        <v>2007</v>
      </c>
      <c r="J160" s="1">
        <f>penglings[[#This Row],[bill_length_mm]]/2</f>
        <v>22.7</v>
      </c>
    </row>
    <row r="161" spans="1:10" x14ac:dyDescent="0.3">
      <c r="A161">
        <v>160</v>
      </c>
      <c r="B161" s="1" t="s">
        <v>16</v>
      </c>
      <c r="C161" s="1" t="s">
        <v>14</v>
      </c>
      <c r="D161" s="2">
        <v>46.7</v>
      </c>
      <c r="E161" s="2">
        <v>15.3</v>
      </c>
      <c r="F161" s="2">
        <v>219</v>
      </c>
      <c r="G161" s="2">
        <v>5200</v>
      </c>
      <c r="H161" s="1" t="s">
        <v>11</v>
      </c>
      <c r="I161">
        <v>2007</v>
      </c>
      <c r="J161" s="1">
        <f>penglings[[#This Row],[bill_length_mm]]/2</f>
        <v>23.35</v>
      </c>
    </row>
    <row r="162" spans="1:10" x14ac:dyDescent="0.3">
      <c r="A162">
        <v>161</v>
      </c>
      <c r="B162" s="1" t="s">
        <v>16</v>
      </c>
      <c r="C162" s="1" t="s">
        <v>14</v>
      </c>
      <c r="D162" s="2">
        <v>43.3</v>
      </c>
      <c r="E162" s="2">
        <v>13.4</v>
      </c>
      <c r="F162" s="2">
        <v>209</v>
      </c>
      <c r="G162" s="2">
        <v>4400</v>
      </c>
      <c r="H162" s="1" t="s">
        <v>12</v>
      </c>
      <c r="I162">
        <v>2007</v>
      </c>
      <c r="J162" s="1">
        <f>penglings[[#This Row],[bill_length_mm]]/2</f>
        <v>21.65</v>
      </c>
    </row>
    <row r="163" spans="1:10" x14ac:dyDescent="0.3">
      <c r="A163">
        <v>162</v>
      </c>
      <c r="B163" s="1" t="s">
        <v>16</v>
      </c>
      <c r="C163" s="1" t="s">
        <v>14</v>
      </c>
      <c r="D163" s="2">
        <v>46.8</v>
      </c>
      <c r="E163" s="2">
        <v>15.4</v>
      </c>
      <c r="F163" s="2">
        <v>215</v>
      </c>
      <c r="G163" s="2">
        <v>5150</v>
      </c>
      <c r="H163" s="1" t="s">
        <v>11</v>
      </c>
      <c r="I163">
        <v>2007</v>
      </c>
      <c r="J163" s="1">
        <f>penglings[[#This Row],[bill_length_mm]]/2</f>
        <v>23.4</v>
      </c>
    </row>
    <row r="164" spans="1:10" x14ac:dyDescent="0.3">
      <c r="A164">
        <v>163</v>
      </c>
      <c r="B164" s="1" t="s">
        <v>16</v>
      </c>
      <c r="C164" s="1" t="s">
        <v>14</v>
      </c>
      <c r="D164" s="2">
        <v>40.9</v>
      </c>
      <c r="E164" s="2">
        <v>13.7</v>
      </c>
      <c r="F164" s="2">
        <v>214</v>
      </c>
      <c r="G164" s="2">
        <v>4650</v>
      </c>
      <c r="H164" s="1" t="s">
        <v>12</v>
      </c>
      <c r="I164">
        <v>2007</v>
      </c>
      <c r="J164" s="1">
        <f>penglings[[#This Row],[bill_length_mm]]/2</f>
        <v>20.45</v>
      </c>
    </row>
    <row r="165" spans="1:10" x14ac:dyDescent="0.3">
      <c r="A165">
        <v>164</v>
      </c>
      <c r="B165" s="1" t="s">
        <v>16</v>
      </c>
      <c r="C165" s="1" t="s">
        <v>14</v>
      </c>
      <c r="D165" s="2">
        <v>49</v>
      </c>
      <c r="E165" s="2">
        <v>16.100000000000001</v>
      </c>
      <c r="F165" s="2">
        <v>216</v>
      </c>
      <c r="G165" s="2">
        <v>5550</v>
      </c>
      <c r="H165" s="1" t="s">
        <v>11</v>
      </c>
      <c r="I165">
        <v>2007</v>
      </c>
      <c r="J165" s="1">
        <f>penglings[[#This Row],[bill_length_mm]]/2</f>
        <v>24.5</v>
      </c>
    </row>
    <row r="166" spans="1:10" x14ac:dyDescent="0.3">
      <c r="A166">
        <v>165</v>
      </c>
      <c r="B166" s="1" t="s">
        <v>16</v>
      </c>
      <c r="C166" s="1" t="s">
        <v>14</v>
      </c>
      <c r="D166" s="2">
        <v>45.5</v>
      </c>
      <c r="E166" s="2">
        <v>13.7</v>
      </c>
      <c r="F166" s="2">
        <v>214</v>
      </c>
      <c r="G166" s="2">
        <v>4650</v>
      </c>
      <c r="H166" s="1" t="s">
        <v>12</v>
      </c>
      <c r="I166">
        <v>2007</v>
      </c>
      <c r="J166" s="1">
        <f>penglings[[#This Row],[bill_length_mm]]/2</f>
        <v>22.75</v>
      </c>
    </row>
    <row r="167" spans="1:10" x14ac:dyDescent="0.3">
      <c r="A167">
        <v>166</v>
      </c>
      <c r="B167" s="1" t="s">
        <v>16</v>
      </c>
      <c r="C167" s="1" t="s">
        <v>14</v>
      </c>
      <c r="D167" s="2">
        <v>48.4</v>
      </c>
      <c r="E167" s="2">
        <v>14.6</v>
      </c>
      <c r="F167" s="2">
        <v>213</v>
      </c>
      <c r="G167" s="2">
        <v>5850</v>
      </c>
      <c r="H167" s="1" t="s">
        <v>11</v>
      </c>
      <c r="I167">
        <v>2007</v>
      </c>
      <c r="J167" s="1">
        <f>penglings[[#This Row],[bill_length_mm]]/2</f>
        <v>24.2</v>
      </c>
    </row>
    <row r="168" spans="1:10" x14ac:dyDescent="0.3">
      <c r="A168">
        <v>167</v>
      </c>
      <c r="B168" s="1" t="s">
        <v>16</v>
      </c>
      <c r="C168" s="1" t="s">
        <v>14</v>
      </c>
      <c r="D168" s="2">
        <v>45.8</v>
      </c>
      <c r="E168" s="2">
        <v>14.6</v>
      </c>
      <c r="F168" s="2">
        <v>210</v>
      </c>
      <c r="G168" s="2">
        <v>4200</v>
      </c>
      <c r="H168" s="1" t="s">
        <v>12</v>
      </c>
      <c r="I168">
        <v>2007</v>
      </c>
      <c r="J168" s="1">
        <f>penglings[[#This Row],[bill_length_mm]]/2</f>
        <v>22.9</v>
      </c>
    </row>
    <row r="169" spans="1:10" x14ac:dyDescent="0.3">
      <c r="A169">
        <v>168</v>
      </c>
      <c r="B169" s="1" t="s">
        <v>16</v>
      </c>
      <c r="C169" s="1" t="s">
        <v>14</v>
      </c>
      <c r="D169" s="2">
        <v>49.3</v>
      </c>
      <c r="E169" s="2">
        <v>15.7</v>
      </c>
      <c r="F169" s="2">
        <v>217</v>
      </c>
      <c r="G169" s="2">
        <v>5850</v>
      </c>
      <c r="H169" s="1" t="s">
        <v>11</v>
      </c>
      <c r="I169">
        <v>2007</v>
      </c>
      <c r="J169" s="1">
        <f>penglings[[#This Row],[bill_length_mm]]/2</f>
        <v>24.65</v>
      </c>
    </row>
    <row r="170" spans="1:10" x14ac:dyDescent="0.3">
      <c r="A170">
        <v>169</v>
      </c>
      <c r="B170" s="1" t="s">
        <v>16</v>
      </c>
      <c r="C170" s="1" t="s">
        <v>14</v>
      </c>
      <c r="D170" s="2">
        <v>42</v>
      </c>
      <c r="E170" s="2">
        <v>13.5</v>
      </c>
      <c r="F170" s="2">
        <v>210</v>
      </c>
      <c r="G170" s="2">
        <v>4150</v>
      </c>
      <c r="H170" s="1" t="s">
        <v>12</v>
      </c>
      <c r="I170">
        <v>2007</v>
      </c>
      <c r="J170" s="1">
        <f>penglings[[#This Row],[bill_length_mm]]/2</f>
        <v>21</v>
      </c>
    </row>
    <row r="171" spans="1:10" x14ac:dyDescent="0.3">
      <c r="A171">
        <v>170</v>
      </c>
      <c r="B171" s="1" t="s">
        <v>16</v>
      </c>
      <c r="C171" s="1" t="s">
        <v>14</v>
      </c>
      <c r="D171" s="2">
        <v>49.2</v>
      </c>
      <c r="E171" s="2">
        <v>15.2</v>
      </c>
      <c r="F171" s="2">
        <v>221</v>
      </c>
      <c r="G171" s="2">
        <v>6300</v>
      </c>
      <c r="H171" s="1" t="s">
        <v>11</v>
      </c>
      <c r="I171">
        <v>2007</v>
      </c>
      <c r="J171" s="1">
        <f>penglings[[#This Row],[bill_length_mm]]/2</f>
        <v>24.6</v>
      </c>
    </row>
    <row r="172" spans="1:10" x14ac:dyDescent="0.3">
      <c r="A172">
        <v>171</v>
      </c>
      <c r="B172" s="1" t="s">
        <v>16</v>
      </c>
      <c r="C172" s="1" t="s">
        <v>14</v>
      </c>
      <c r="D172" s="2">
        <v>46.2</v>
      </c>
      <c r="E172" s="2">
        <v>14.5</v>
      </c>
      <c r="F172" s="2">
        <v>209</v>
      </c>
      <c r="G172" s="2">
        <v>4800</v>
      </c>
      <c r="H172" s="1" t="s">
        <v>12</v>
      </c>
      <c r="I172">
        <v>2007</v>
      </c>
      <c r="J172" s="1">
        <f>penglings[[#This Row],[bill_length_mm]]/2</f>
        <v>23.1</v>
      </c>
    </row>
    <row r="173" spans="1:10" x14ac:dyDescent="0.3">
      <c r="A173">
        <v>172</v>
      </c>
      <c r="B173" s="1" t="s">
        <v>16</v>
      </c>
      <c r="C173" s="1" t="s">
        <v>14</v>
      </c>
      <c r="D173" s="2">
        <v>48.7</v>
      </c>
      <c r="E173" s="2">
        <v>15.1</v>
      </c>
      <c r="F173" s="2">
        <v>222</v>
      </c>
      <c r="G173" s="2">
        <v>5350</v>
      </c>
      <c r="H173" s="1" t="s">
        <v>11</v>
      </c>
      <c r="I173">
        <v>2007</v>
      </c>
      <c r="J173" s="1">
        <f>penglings[[#This Row],[bill_length_mm]]/2</f>
        <v>24.35</v>
      </c>
    </row>
    <row r="174" spans="1:10" x14ac:dyDescent="0.3">
      <c r="A174">
        <v>173</v>
      </c>
      <c r="B174" s="1" t="s">
        <v>16</v>
      </c>
      <c r="C174" s="1" t="s">
        <v>14</v>
      </c>
      <c r="D174" s="2">
        <v>50.2</v>
      </c>
      <c r="E174" s="2">
        <v>14.3</v>
      </c>
      <c r="F174" s="2">
        <v>218</v>
      </c>
      <c r="G174" s="2">
        <v>5700</v>
      </c>
      <c r="H174" s="1" t="s">
        <v>11</v>
      </c>
      <c r="I174">
        <v>2007</v>
      </c>
      <c r="J174" s="1">
        <f>penglings[[#This Row],[bill_length_mm]]/2</f>
        <v>25.1</v>
      </c>
    </row>
    <row r="175" spans="1:10" x14ac:dyDescent="0.3">
      <c r="A175">
        <v>174</v>
      </c>
      <c r="B175" s="1" t="s">
        <v>16</v>
      </c>
      <c r="C175" s="1" t="s">
        <v>14</v>
      </c>
      <c r="D175" s="2">
        <v>45.1</v>
      </c>
      <c r="E175" s="2">
        <v>14.5</v>
      </c>
      <c r="F175" s="2">
        <v>215</v>
      </c>
      <c r="G175" s="2">
        <v>5000</v>
      </c>
      <c r="H175" s="1" t="s">
        <v>12</v>
      </c>
      <c r="I175">
        <v>2007</v>
      </c>
      <c r="J175" s="1">
        <f>penglings[[#This Row],[bill_length_mm]]/2</f>
        <v>22.55</v>
      </c>
    </row>
    <row r="176" spans="1:10" x14ac:dyDescent="0.3">
      <c r="A176">
        <v>175</v>
      </c>
      <c r="B176" s="1" t="s">
        <v>16</v>
      </c>
      <c r="C176" s="1" t="s">
        <v>14</v>
      </c>
      <c r="D176" s="2">
        <v>46.5</v>
      </c>
      <c r="E176" s="2">
        <v>14.5</v>
      </c>
      <c r="F176" s="2">
        <v>213</v>
      </c>
      <c r="G176" s="2">
        <v>4400</v>
      </c>
      <c r="H176" s="1" t="s">
        <v>12</v>
      </c>
      <c r="I176">
        <v>2007</v>
      </c>
      <c r="J176" s="1">
        <f>penglings[[#This Row],[bill_length_mm]]/2</f>
        <v>23.25</v>
      </c>
    </row>
    <row r="177" spans="1:10" x14ac:dyDescent="0.3">
      <c r="A177">
        <v>176</v>
      </c>
      <c r="B177" s="1" t="s">
        <v>16</v>
      </c>
      <c r="C177" s="1" t="s">
        <v>14</v>
      </c>
      <c r="D177" s="2">
        <v>46.3</v>
      </c>
      <c r="E177" s="2">
        <v>15.8</v>
      </c>
      <c r="F177" s="2">
        <v>215</v>
      </c>
      <c r="G177" s="2">
        <v>5050</v>
      </c>
      <c r="H177" s="1" t="s">
        <v>11</v>
      </c>
      <c r="I177">
        <v>2007</v>
      </c>
      <c r="J177" s="1">
        <f>penglings[[#This Row],[bill_length_mm]]/2</f>
        <v>23.15</v>
      </c>
    </row>
    <row r="178" spans="1:10" x14ac:dyDescent="0.3">
      <c r="A178">
        <v>177</v>
      </c>
      <c r="B178" s="1" t="s">
        <v>16</v>
      </c>
      <c r="C178" s="1" t="s">
        <v>14</v>
      </c>
      <c r="D178" s="2">
        <v>42.9</v>
      </c>
      <c r="E178" s="2">
        <v>13.1</v>
      </c>
      <c r="F178" s="2">
        <v>215</v>
      </c>
      <c r="G178" s="2">
        <v>5000</v>
      </c>
      <c r="H178" s="1" t="s">
        <v>12</v>
      </c>
      <c r="I178">
        <v>2007</v>
      </c>
      <c r="J178" s="1">
        <f>penglings[[#This Row],[bill_length_mm]]/2</f>
        <v>21.45</v>
      </c>
    </row>
    <row r="179" spans="1:10" x14ac:dyDescent="0.3">
      <c r="A179">
        <v>178</v>
      </c>
      <c r="B179" s="1" t="s">
        <v>16</v>
      </c>
      <c r="C179" s="1" t="s">
        <v>14</v>
      </c>
      <c r="D179" s="2">
        <v>46.1</v>
      </c>
      <c r="E179" s="2">
        <v>15.1</v>
      </c>
      <c r="F179" s="2">
        <v>215</v>
      </c>
      <c r="G179" s="2">
        <v>5100</v>
      </c>
      <c r="H179" s="1" t="s">
        <v>11</v>
      </c>
      <c r="I179">
        <v>2007</v>
      </c>
      <c r="J179" s="1">
        <f>penglings[[#This Row],[bill_length_mm]]/2</f>
        <v>23.05</v>
      </c>
    </row>
    <row r="180" spans="1:10" x14ac:dyDescent="0.3">
      <c r="A180">
        <v>179</v>
      </c>
      <c r="B180" s="1" t="s">
        <v>16</v>
      </c>
      <c r="C180" s="1" t="s">
        <v>14</v>
      </c>
      <c r="D180" s="2">
        <v>44.5</v>
      </c>
      <c r="E180" s="2">
        <v>14.3</v>
      </c>
      <c r="F180" s="2">
        <v>216</v>
      </c>
      <c r="G180" s="2">
        <v>4100</v>
      </c>
      <c r="H180" s="1" t="s">
        <v>13</v>
      </c>
      <c r="I180">
        <v>2007</v>
      </c>
      <c r="J180" s="1">
        <f>penglings[[#This Row],[bill_length_mm]]/2</f>
        <v>22.25</v>
      </c>
    </row>
    <row r="181" spans="1:10" x14ac:dyDescent="0.3">
      <c r="A181">
        <v>180</v>
      </c>
      <c r="B181" s="1" t="s">
        <v>16</v>
      </c>
      <c r="C181" s="1" t="s">
        <v>14</v>
      </c>
      <c r="D181" s="2">
        <v>47.8</v>
      </c>
      <c r="E181" s="2">
        <v>15</v>
      </c>
      <c r="F181" s="2">
        <v>215</v>
      </c>
      <c r="G181" s="2">
        <v>5650</v>
      </c>
      <c r="H181" s="1" t="s">
        <v>11</v>
      </c>
      <c r="I181">
        <v>2007</v>
      </c>
      <c r="J181" s="1">
        <f>penglings[[#This Row],[bill_length_mm]]/2</f>
        <v>23.9</v>
      </c>
    </row>
    <row r="182" spans="1:10" x14ac:dyDescent="0.3">
      <c r="A182">
        <v>181</v>
      </c>
      <c r="B182" s="1" t="s">
        <v>16</v>
      </c>
      <c r="C182" s="1" t="s">
        <v>14</v>
      </c>
      <c r="D182" s="2">
        <v>48.2</v>
      </c>
      <c r="E182" s="2">
        <v>14.3</v>
      </c>
      <c r="F182" s="2">
        <v>210</v>
      </c>
      <c r="G182" s="2">
        <v>4600</v>
      </c>
      <c r="H182" s="1" t="s">
        <v>12</v>
      </c>
      <c r="I182">
        <v>2007</v>
      </c>
      <c r="J182" s="1">
        <f>penglings[[#This Row],[bill_length_mm]]/2</f>
        <v>24.1</v>
      </c>
    </row>
    <row r="183" spans="1:10" x14ac:dyDescent="0.3">
      <c r="A183">
        <v>182</v>
      </c>
      <c r="B183" s="1" t="s">
        <v>16</v>
      </c>
      <c r="C183" s="1" t="s">
        <v>14</v>
      </c>
      <c r="D183" s="2">
        <v>50</v>
      </c>
      <c r="E183" s="2">
        <v>15.3</v>
      </c>
      <c r="F183" s="2">
        <v>220</v>
      </c>
      <c r="G183" s="2">
        <v>5550</v>
      </c>
      <c r="H183" s="1" t="s">
        <v>11</v>
      </c>
      <c r="I183">
        <v>2007</v>
      </c>
      <c r="J183" s="1">
        <f>penglings[[#This Row],[bill_length_mm]]/2</f>
        <v>25</v>
      </c>
    </row>
    <row r="184" spans="1:10" x14ac:dyDescent="0.3">
      <c r="A184">
        <v>183</v>
      </c>
      <c r="B184" s="1" t="s">
        <v>16</v>
      </c>
      <c r="C184" s="1" t="s">
        <v>14</v>
      </c>
      <c r="D184" s="2">
        <v>47.3</v>
      </c>
      <c r="E184" s="2">
        <v>15.3</v>
      </c>
      <c r="F184" s="2">
        <v>222</v>
      </c>
      <c r="G184" s="2">
        <v>5250</v>
      </c>
      <c r="H184" s="1" t="s">
        <v>11</v>
      </c>
      <c r="I184">
        <v>2007</v>
      </c>
      <c r="J184" s="1">
        <f>penglings[[#This Row],[bill_length_mm]]/2</f>
        <v>23.65</v>
      </c>
    </row>
    <row r="185" spans="1:10" x14ac:dyDescent="0.3">
      <c r="A185">
        <v>184</v>
      </c>
      <c r="B185" s="1" t="s">
        <v>16</v>
      </c>
      <c r="C185" s="1" t="s">
        <v>14</v>
      </c>
      <c r="D185" s="2">
        <v>42.8</v>
      </c>
      <c r="E185" s="2">
        <v>14.2</v>
      </c>
      <c r="F185" s="2">
        <v>209</v>
      </c>
      <c r="G185" s="2">
        <v>4700</v>
      </c>
      <c r="H185" s="1" t="s">
        <v>12</v>
      </c>
      <c r="I185">
        <v>2007</v>
      </c>
      <c r="J185" s="1">
        <f>penglings[[#This Row],[bill_length_mm]]/2</f>
        <v>21.4</v>
      </c>
    </row>
    <row r="186" spans="1:10" x14ac:dyDescent="0.3">
      <c r="A186">
        <v>185</v>
      </c>
      <c r="B186" s="1" t="s">
        <v>16</v>
      </c>
      <c r="C186" s="1" t="s">
        <v>14</v>
      </c>
      <c r="D186" s="2">
        <v>45.1</v>
      </c>
      <c r="E186" s="2">
        <v>14.5</v>
      </c>
      <c r="F186" s="2">
        <v>207</v>
      </c>
      <c r="G186" s="2">
        <v>5050</v>
      </c>
      <c r="H186" s="1" t="s">
        <v>12</v>
      </c>
      <c r="I186">
        <v>2007</v>
      </c>
      <c r="J186" s="1">
        <f>penglings[[#This Row],[bill_length_mm]]/2</f>
        <v>22.55</v>
      </c>
    </row>
    <row r="187" spans="1:10" x14ac:dyDescent="0.3">
      <c r="A187">
        <v>186</v>
      </c>
      <c r="B187" s="1" t="s">
        <v>16</v>
      </c>
      <c r="C187" s="1" t="s">
        <v>14</v>
      </c>
      <c r="D187" s="2">
        <v>59.6</v>
      </c>
      <c r="E187" s="2">
        <v>17</v>
      </c>
      <c r="F187" s="2">
        <v>230</v>
      </c>
      <c r="G187" s="2">
        <v>6050</v>
      </c>
      <c r="H187" s="1" t="s">
        <v>11</v>
      </c>
      <c r="I187">
        <v>2007</v>
      </c>
      <c r="J187" s="1">
        <f>penglings[[#This Row],[bill_length_mm]]/2</f>
        <v>29.8</v>
      </c>
    </row>
    <row r="188" spans="1:10" x14ac:dyDescent="0.3">
      <c r="A188">
        <v>187</v>
      </c>
      <c r="B188" s="1" t="s">
        <v>16</v>
      </c>
      <c r="C188" s="1" t="s">
        <v>14</v>
      </c>
      <c r="D188" s="2">
        <v>49.1</v>
      </c>
      <c r="E188" s="2">
        <v>14.8</v>
      </c>
      <c r="F188" s="2">
        <v>220</v>
      </c>
      <c r="G188" s="2">
        <v>5150</v>
      </c>
      <c r="H188" s="1" t="s">
        <v>12</v>
      </c>
      <c r="I188">
        <v>2008</v>
      </c>
      <c r="J188" s="1">
        <f>penglings[[#This Row],[bill_length_mm]]/2</f>
        <v>24.55</v>
      </c>
    </row>
    <row r="189" spans="1:10" x14ac:dyDescent="0.3">
      <c r="A189">
        <v>188</v>
      </c>
      <c r="B189" s="1" t="s">
        <v>16</v>
      </c>
      <c r="C189" s="1" t="s">
        <v>14</v>
      </c>
      <c r="D189" s="2">
        <v>48.4</v>
      </c>
      <c r="E189" s="2">
        <v>16.3</v>
      </c>
      <c r="F189" s="2">
        <v>220</v>
      </c>
      <c r="G189" s="2">
        <v>5400</v>
      </c>
      <c r="H189" s="1" t="s">
        <v>11</v>
      </c>
      <c r="I189">
        <v>2008</v>
      </c>
      <c r="J189" s="1">
        <f>penglings[[#This Row],[bill_length_mm]]/2</f>
        <v>24.2</v>
      </c>
    </row>
    <row r="190" spans="1:10" x14ac:dyDescent="0.3">
      <c r="A190">
        <v>189</v>
      </c>
      <c r="B190" s="1" t="s">
        <v>16</v>
      </c>
      <c r="C190" s="1" t="s">
        <v>14</v>
      </c>
      <c r="D190" s="2">
        <v>42.6</v>
      </c>
      <c r="E190" s="2">
        <v>13.7</v>
      </c>
      <c r="F190" s="2">
        <v>213</v>
      </c>
      <c r="G190" s="2">
        <v>4950</v>
      </c>
      <c r="H190" s="1" t="s">
        <v>12</v>
      </c>
      <c r="I190">
        <v>2008</v>
      </c>
      <c r="J190" s="1">
        <f>penglings[[#This Row],[bill_length_mm]]/2</f>
        <v>21.3</v>
      </c>
    </row>
    <row r="191" spans="1:10" x14ac:dyDescent="0.3">
      <c r="A191">
        <v>190</v>
      </c>
      <c r="B191" s="1" t="s">
        <v>16</v>
      </c>
      <c r="C191" s="1" t="s">
        <v>14</v>
      </c>
      <c r="D191" s="2">
        <v>44.4</v>
      </c>
      <c r="E191" s="2">
        <v>17.3</v>
      </c>
      <c r="F191" s="2">
        <v>219</v>
      </c>
      <c r="G191" s="2">
        <v>5250</v>
      </c>
      <c r="H191" s="1" t="s">
        <v>11</v>
      </c>
      <c r="I191">
        <v>2008</v>
      </c>
      <c r="J191" s="1">
        <f>penglings[[#This Row],[bill_length_mm]]/2</f>
        <v>22.2</v>
      </c>
    </row>
    <row r="192" spans="1:10" x14ac:dyDescent="0.3">
      <c r="A192">
        <v>191</v>
      </c>
      <c r="B192" s="1" t="s">
        <v>16</v>
      </c>
      <c r="C192" s="1" t="s">
        <v>14</v>
      </c>
      <c r="D192" s="2">
        <v>44</v>
      </c>
      <c r="E192" s="2">
        <v>13.6</v>
      </c>
      <c r="F192" s="2">
        <v>208</v>
      </c>
      <c r="G192" s="2">
        <v>4350</v>
      </c>
      <c r="H192" s="1" t="s">
        <v>12</v>
      </c>
      <c r="I192">
        <v>2008</v>
      </c>
      <c r="J192" s="1">
        <f>penglings[[#This Row],[bill_length_mm]]/2</f>
        <v>22</v>
      </c>
    </row>
    <row r="193" spans="1:10" x14ac:dyDescent="0.3">
      <c r="A193">
        <v>192</v>
      </c>
      <c r="B193" s="1" t="s">
        <v>16</v>
      </c>
      <c r="C193" s="1" t="s">
        <v>14</v>
      </c>
      <c r="D193" s="2">
        <v>48.7</v>
      </c>
      <c r="E193" s="2">
        <v>15.7</v>
      </c>
      <c r="F193" s="2">
        <v>208</v>
      </c>
      <c r="G193" s="2">
        <v>5350</v>
      </c>
      <c r="H193" s="1" t="s">
        <v>11</v>
      </c>
      <c r="I193">
        <v>2008</v>
      </c>
      <c r="J193" s="1">
        <f>penglings[[#This Row],[bill_length_mm]]/2</f>
        <v>24.35</v>
      </c>
    </row>
    <row r="194" spans="1:10" x14ac:dyDescent="0.3">
      <c r="A194">
        <v>193</v>
      </c>
      <c r="B194" s="1" t="s">
        <v>16</v>
      </c>
      <c r="C194" s="1" t="s">
        <v>14</v>
      </c>
      <c r="D194" s="2">
        <v>42.7</v>
      </c>
      <c r="E194" s="2">
        <v>13.7</v>
      </c>
      <c r="F194" s="2">
        <v>208</v>
      </c>
      <c r="G194" s="2">
        <v>3950</v>
      </c>
      <c r="H194" s="1" t="s">
        <v>12</v>
      </c>
      <c r="I194">
        <v>2008</v>
      </c>
      <c r="J194" s="1">
        <f>penglings[[#This Row],[bill_length_mm]]/2</f>
        <v>21.35</v>
      </c>
    </row>
    <row r="195" spans="1:10" x14ac:dyDescent="0.3">
      <c r="A195">
        <v>194</v>
      </c>
      <c r="B195" s="1" t="s">
        <v>16</v>
      </c>
      <c r="C195" s="1" t="s">
        <v>14</v>
      </c>
      <c r="D195" s="2">
        <v>49.6</v>
      </c>
      <c r="E195" s="2">
        <v>16</v>
      </c>
      <c r="F195" s="2">
        <v>225</v>
      </c>
      <c r="G195" s="2">
        <v>5700</v>
      </c>
      <c r="H195" s="1" t="s">
        <v>11</v>
      </c>
      <c r="I195">
        <v>2008</v>
      </c>
      <c r="J195" s="1">
        <f>penglings[[#This Row],[bill_length_mm]]/2</f>
        <v>24.8</v>
      </c>
    </row>
    <row r="196" spans="1:10" x14ac:dyDescent="0.3">
      <c r="A196">
        <v>195</v>
      </c>
      <c r="B196" s="1" t="s">
        <v>16</v>
      </c>
      <c r="C196" s="1" t="s">
        <v>14</v>
      </c>
      <c r="D196" s="2">
        <v>45.3</v>
      </c>
      <c r="E196" s="2">
        <v>13.7</v>
      </c>
      <c r="F196" s="2">
        <v>210</v>
      </c>
      <c r="G196" s="2">
        <v>4300</v>
      </c>
      <c r="H196" s="1" t="s">
        <v>12</v>
      </c>
      <c r="I196">
        <v>2008</v>
      </c>
      <c r="J196" s="1">
        <f>penglings[[#This Row],[bill_length_mm]]/2</f>
        <v>22.65</v>
      </c>
    </row>
    <row r="197" spans="1:10" x14ac:dyDescent="0.3">
      <c r="A197">
        <v>196</v>
      </c>
      <c r="B197" s="1" t="s">
        <v>16</v>
      </c>
      <c r="C197" s="1" t="s">
        <v>14</v>
      </c>
      <c r="D197" s="2">
        <v>49.6</v>
      </c>
      <c r="E197" s="2">
        <v>15</v>
      </c>
      <c r="F197" s="2">
        <v>216</v>
      </c>
      <c r="G197" s="2">
        <v>4750</v>
      </c>
      <c r="H197" s="1" t="s">
        <v>11</v>
      </c>
      <c r="I197">
        <v>2008</v>
      </c>
      <c r="J197" s="1">
        <f>penglings[[#This Row],[bill_length_mm]]/2</f>
        <v>24.8</v>
      </c>
    </row>
    <row r="198" spans="1:10" x14ac:dyDescent="0.3">
      <c r="A198">
        <v>197</v>
      </c>
      <c r="B198" s="1" t="s">
        <v>16</v>
      </c>
      <c r="C198" s="1" t="s">
        <v>14</v>
      </c>
      <c r="D198" s="2">
        <v>50.5</v>
      </c>
      <c r="E198" s="2">
        <v>15.9</v>
      </c>
      <c r="F198" s="2">
        <v>222</v>
      </c>
      <c r="G198" s="2">
        <v>5550</v>
      </c>
      <c r="H198" s="1" t="s">
        <v>11</v>
      </c>
      <c r="I198">
        <v>2008</v>
      </c>
      <c r="J198" s="1">
        <f>penglings[[#This Row],[bill_length_mm]]/2</f>
        <v>25.25</v>
      </c>
    </row>
    <row r="199" spans="1:10" x14ac:dyDescent="0.3">
      <c r="A199">
        <v>198</v>
      </c>
      <c r="B199" s="1" t="s">
        <v>16</v>
      </c>
      <c r="C199" s="1" t="s">
        <v>14</v>
      </c>
      <c r="D199" s="2">
        <v>43.6</v>
      </c>
      <c r="E199" s="2">
        <v>13.9</v>
      </c>
      <c r="F199" s="2">
        <v>217</v>
      </c>
      <c r="G199" s="2">
        <v>4900</v>
      </c>
      <c r="H199" s="1" t="s">
        <v>12</v>
      </c>
      <c r="I199">
        <v>2008</v>
      </c>
      <c r="J199" s="1">
        <f>penglings[[#This Row],[bill_length_mm]]/2</f>
        <v>21.8</v>
      </c>
    </row>
    <row r="200" spans="1:10" x14ac:dyDescent="0.3">
      <c r="A200">
        <v>199</v>
      </c>
      <c r="B200" s="1" t="s">
        <v>16</v>
      </c>
      <c r="C200" s="1" t="s">
        <v>14</v>
      </c>
      <c r="D200" s="2">
        <v>45.5</v>
      </c>
      <c r="E200" s="2">
        <v>13.9</v>
      </c>
      <c r="F200" s="2">
        <v>210</v>
      </c>
      <c r="G200" s="2">
        <v>4200</v>
      </c>
      <c r="H200" s="1" t="s">
        <v>12</v>
      </c>
      <c r="I200">
        <v>2008</v>
      </c>
      <c r="J200" s="1">
        <f>penglings[[#This Row],[bill_length_mm]]/2</f>
        <v>22.75</v>
      </c>
    </row>
    <row r="201" spans="1:10" x14ac:dyDescent="0.3">
      <c r="A201">
        <v>200</v>
      </c>
      <c r="B201" s="1" t="s">
        <v>16</v>
      </c>
      <c r="C201" s="1" t="s">
        <v>14</v>
      </c>
      <c r="D201" s="2">
        <v>50.5</v>
      </c>
      <c r="E201" s="2">
        <v>15.9</v>
      </c>
      <c r="F201" s="2">
        <v>225</v>
      </c>
      <c r="G201" s="2">
        <v>5400</v>
      </c>
      <c r="H201" s="1" t="s">
        <v>11</v>
      </c>
      <c r="I201">
        <v>2008</v>
      </c>
      <c r="J201" s="1">
        <f>penglings[[#This Row],[bill_length_mm]]/2</f>
        <v>25.25</v>
      </c>
    </row>
    <row r="202" spans="1:10" x14ac:dyDescent="0.3">
      <c r="A202">
        <v>201</v>
      </c>
      <c r="B202" s="1" t="s">
        <v>16</v>
      </c>
      <c r="C202" s="1" t="s">
        <v>14</v>
      </c>
      <c r="D202" s="2">
        <v>44.9</v>
      </c>
      <c r="E202" s="2">
        <v>13.3</v>
      </c>
      <c r="F202" s="2">
        <v>213</v>
      </c>
      <c r="G202" s="2">
        <v>5100</v>
      </c>
      <c r="H202" s="1" t="s">
        <v>12</v>
      </c>
      <c r="I202">
        <v>2008</v>
      </c>
      <c r="J202" s="1">
        <f>penglings[[#This Row],[bill_length_mm]]/2</f>
        <v>22.45</v>
      </c>
    </row>
    <row r="203" spans="1:10" x14ac:dyDescent="0.3">
      <c r="A203">
        <v>202</v>
      </c>
      <c r="B203" s="1" t="s">
        <v>16</v>
      </c>
      <c r="C203" s="1" t="s">
        <v>14</v>
      </c>
      <c r="D203" s="2">
        <v>45.2</v>
      </c>
      <c r="E203" s="2">
        <v>15.8</v>
      </c>
      <c r="F203" s="2">
        <v>215</v>
      </c>
      <c r="G203" s="2">
        <v>5300</v>
      </c>
      <c r="H203" s="1" t="s">
        <v>11</v>
      </c>
      <c r="I203">
        <v>2008</v>
      </c>
      <c r="J203" s="1">
        <f>penglings[[#This Row],[bill_length_mm]]/2</f>
        <v>22.6</v>
      </c>
    </row>
    <row r="204" spans="1:10" x14ac:dyDescent="0.3">
      <c r="A204">
        <v>203</v>
      </c>
      <c r="B204" s="1" t="s">
        <v>16</v>
      </c>
      <c r="C204" s="1" t="s">
        <v>14</v>
      </c>
      <c r="D204" s="2">
        <v>46.6</v>
      </c>
      <c r="E204" s="2">
        <v>14.2</v>
      </c>
      <c r="F204" s="2">
        <v>210</v>
      </c>
      <c r="G204" s="2">
        <v>4850</v>
      </c>
      <c r="H204" s="1" t="s">
        <v>12</v>
      </c>
      <c r="I204">
        <v>2008</v>
      </c>
      <c r="J204" s="1">
        <f>penglings[[#This Row],[bill_length_mm]]/2</f>
        <v>23.3</v>
      </c>
    </row>
    <row r="205" spans="1:10" x14ac:dyDescent="0.3">
      <c r="A205">
        <v>204</v>
      </c>
      <c r="B205" s="1" t="s">
        <v>16</v>
      </c>
      <c r="C205" s="1" t="s">
        <v>14</v>
      </c>
      <c r="D205" s="2">
        <v>48.5</v>
      </c>
      <c r="E205" s="2">
        <v>14.1</v>
      </c>
      <c r="F205" s="2">
        <v>220</v>
      </c>
      <c r="G205" s="2">
        <v>5300</v>
      </c>
      <c r="H205" s="1" t="s">
        <v>11</v>
      </c>
      <c r="I205">
        <v>2008</v>
      </c>
      <c r="J205" s="1">
        <f>penglings[[#This Row],[bill_length_mm]]/2</f>
        <v>24.25</v>
      </c>
    </row>
    <row r="206" spans="1:10" x14ac:dyDescent="0.3">
      <c r="A206">
        <v>205</v>
      </c>
      <c r="B206" s="1" t="s">
        <v>16</v>
      </c>
      <c r="C206" s="1" t="s">
        <v>14</v>
      </c>
      <c r="D206" s="2">
        <v>45.1</v>
      </c>
      <c r="E206" s="2">
        <v>14.4</v>
      </c>
      <c r="F206" s="2">
        <v>210</v>
      </c>
      <c r="G206" s="2">
        <v>4400</v>
      </c>
      <c r="H206" s="1" t="s">
        <v>12</v>
      </c>
      <c r="I206">
        <v>2008</v>
      </c>
      <c r="J206" s="1">
        <f>penglings[[#This Row],[bill_length_mm]]/2</f>
        <v>22.55</v>
      </c>
    </row>
    <row r="207" spans="1:10" x14ac:dyDescent="0.3">
      <c r="A207">
        <v>206</v>
      </c>
      <c r="B207" s="1" t="s">
        <v>16</v>
      </c>
      <c r="C207" s="1" t="s">
        <v>14</v>
      </c>
      <c r="D207" s="2">
        <v>50.1</v>
      </c>
      <c r="E207" s="2">
        <v>15</v>
      </c>
      <c r="F207" s="2">
        <v>225</v>
      </c>
      <c r="G207" s="2">
        <v>5000</v>
      </c>
      <c r="H207" s="1" t="s">
        <v>11</v>
      </c>
      <c r="I207">
        <v>2008</v>
      </c>
      <c r="J207" s="1">
        <f>penglings[[#This Row],[bill_length_mm]]/2</f>
        <v>25.05</v>
      </c>
    </row>
    <row r="208" spans="1:10" x14ac:dyDescent="0.3">
      <c r="A208">
        <v>207</v>
      </c>
      <c r="B208" s="1" t="s">
        <v>16</v>
      </c>
      <c r="C208" s="1" t="s">
        <v>14</v>
      </c>
      <c r="D208" s="2">
        <v>46.5</v>
      </c>
      <c r="E208" s="2">
        <v>14.4</v>
      </c>
      <c r="F208" s="2">
        <v>217</v>
      </c>
      <c r="G208" s="2">
        <v>4900</v>
      </c>
      <c r="H208" s="1" t="s">
        <v>12</v>
      </c>
      <c r="I208">
        <v>2008</v>
      </c>
      <c r="J208" s="1">
        <f>penglings[[#This Row],[bill_length_mm]]/2</f>
        <v>23.25</v>
      </c>
    </row>
    <row r="209" spans="1:10" x14ac:dyDescent="0.3">
      <c r="A209">
        <v>208</v>
      </c>
      <c r="B209" s="1" t="s">
        <v>16</v>
      </c>
      <c r="C209" s="1" t="s">
        <v>14</v>
      </c>
      <c r="D209" s="2">
        <v>45</v>
      </c>
      <c r="E209" s="2">
        <v>15.4</v>
      </c>
      <c r="F209" s="2">
        <v>220</v>
      </c>
      <c r="G209" s="2">
        <v>5050</v>
      </c>
      <c r="H209" s="1" t="s">
        <v>11</v>
      </c>
      <c r="I209">
        <v>2008</v>
      </c>
      <c r="J209" s="1">
        <f>penglings[[#This Row],[bill_length_mm]]/2</f>
        <v>22.5</v>
      </c>
    </row>
    <row r="210" spans="1:10" x14ac:dyDescent="0.3">
      <c r="A210">
        <v>209</v>
      </c>
      <c r="B210" s="1" t="s">
        <v>16</v>
      </c>
      <c r="C210" s="1" t="s">
        <v>14</v>
      </c>
      <c r="D210" s="2">
        <v>43.8</v>
      </c>
      <c r="E210" s="2">
        <v>13.9</v>
      </c>
      <c r="F210" s="2">
        <v>208</v>
      </c>
      <c r="G210" s="2">
        <v>4300</v>
      </c>
      <c r="H210" s="1" t="s">
        <v>12</v>
      </c>
      <c r="I210">
        <v>2008</v>
      </c>
      <c r="J210" s="1">
        <f>penglings[[#This Row],[bill_length_mm]]/2</f>
        <v>21.9</v>
      </c>
    </row>
    <row r="211" spans="1:10" x14ac:dyDescent="0.3">
      <c r="A211">
        <v>210</v>
      </c>
      <c r="B211" s="1" t="s">
        <v>16</v>
      </c>
      <c r="C211" s="1" t="s">
        <v>14</v>
      </c>
      <c r="D211" s="2">
        <v>45.5</v>
      </c>
      <c r="E211" s="2">
        <v>15</v>
      </c>
      <c r="F211" s="2">
        <v>220</v>
      </c>
      <c r="G211" s="2">
        <v>5000</v>
      </c>
      <c r="H211" s="1" t="s">
        <v>11</v>
      </c>
      <c r="I211">
        <v>2008</v>
      </c>
      <c r="J211" s="1">
        <f>penglings[[#This Row],[bill_length_mm]]/2</f>
        <v>22.75</v>
      </c>
    </row>
    <row r="212" spans="1:10" x14ac:dyDescent="0.3">
      <c r="A212">
        <v>211</v>
      </c>
      <c r="B212" s="1" t="s">
        <v>16</v>
      </c>
      <c r="C212" s="1" t="s">
        <v>14</v>
      </c>
      <c r="D212" s="2">
        <v>43.2</v>
      </c>
      <c r="E212" s="2">
        <v>14.5</v>
      </c>
      <c r="F212" s="2">
        <v>208</v>
      </c>
      <c r="G212" s="2">
        <v>4450</v>
      </c>
      <c r="H212" s="1" t="s">
        <v>12</v>
      </c>
      <c r="I212">
        <v>2008</v>
      </c>
      <c r="J212" s="1">
        <f>penglings[[#This Row],[bill_length_mm]]/2</f>
        <v>21.6</v>
      </c>
    </row>
    <row r="213" spans="1:10" x14ac:dyDescent="0.3">
      <c r="A213">
        <v>212</v>
      </c>
      <c r="B213" s="1" t="s">
        <v>16</v>
      </c>
      <c r="C213" s="1" t="s">
        <v>14</v>
      </c>
      <c r="D213" s="2">
        <v>50.4</v>
      </c>
      <c r="E213" s="2">
        <v>15.3</v>
      </c>
      <c r="F213" s="2">
        <v>224</v>
      </c>
      <c r="G213" s="2">
        <v>5550</v>
      </c>
      <c r="H213" s="1" t="s">
        <v>11</v>
      </c>
      <c r="I213">
        <v>2008</v>
      </c>
      <c r="J213" s="1">
        <f>penglings[[#This Row],[bill_length_mm]]/2</f>
        <v>25.2</v>
      </c>
    </row>
    <row r="214" spans="1:10" x14ac:dyDescent="0.3">
      <c r="A214">
        <v>213</v>
      </c>
      <c r="B214" s="1" t="s">
        <v>16</v>
      </c>
      <c r="C214" s="1" t="s">
        <v>14</v>
      </c>
      <c r="D214" s="2">
        <v>45.3</v>
      </c>
      <c r="E214" s="2">
        <v>13.8</v>
      </c>
      <c r="F214" s="2">
        <v>208</v>
      </c>
      <c r="G214" s="2">
        <v>4200</v>
      </c>
      <c r="H214" s="1" t="s">
        <v>12</v>
      </c>
      <c r="I214">
        <v>2008</v>
      </c>
      <c r="J214" s="1">
        <f>penglings[[#This Row],[bill_length_mm]]/2</f>
        <v>22.65</v>
      </c>
    </row>
    <row r="215" spans="1:10" x14ac:dyDescent="0.3">
      <c r="A215">
        <v>214</v>
      </c>
      <c r="B215" s="1" t="s">
        <v>16</v>
      </c>
      <c r="C215" s="1" t="s">
        <v>14</v>
      </c>
      <c r="D215" s="2">
        <v>46.2</v>
      </c>
      <c r="E215" s="2">
        <v>14.9</v>
      </c>
      <c r="F215" s="2">
        <v>221</v>
      </c>
      <c r="G215" s="2">
        <v>5300</v>
      </c>
      <c r="H215" s="1" t="s">
        <v>11</v>
      </c>
      <c r="I215">
        <v>2008</v>
      </c>
      <c r="J215" s="1">
        <f>penglings[[#This Row],[bill_length_mm]]/2</f>
        <v>23.1</v>
      </c>
    </row>
    <row r="216" spans="1:10" x14ac:dyDescent="0.3">
      <c r="A216">
        <v>215</v>
      </c>
      <c r="B216" s="1" t="s">
        <v>16</v>
      </c>
      <c r="C216" s="1" t="s">
        <v>14</v>
      </c>
      <c r="D216" s="2">
        <v>45.7</v>
      </c>
      <c r="E216" s="2">
        <v>13.9</v>
      </c>
      <c r="F216" s="2">
        <v>214</v>
      </c>
      <c r="G216" s="2">
        <v>4400</v>
      </c>
      <c r="H216" s="1" t="s">
        <v>12</v>
      </c>
      <c r="I216">
        <v>2008</v>
      </c>
      <c r="J216" s="1">
        <f>penglings[[#This Row],[bill_length_mm]]/2</f>
        <v>22.85</v>
      </c>
    </row>
    <row r="217" spans="1:10" x14ac:dyDescent="0.3">
      <c r="A217">
        <v>216</v>
      </c>
      <c r="B217" s="1" t="s">
        <v>16</v>
      </c>
      <c r="C217" s="1" t="s">
        <v>14</v>
      </c>
      <c r="D217" s="2">
        <v>54.3</v>
      </c>
      <c r="E217" s="2">
        <v>15.7</v>
      </c>
      <c r="F217" s="2">
        <v>231</v>
      </c>
      <c r="G217" s="2">
        <v>5650</v>
      </c>
      <c r="H217" s="1" t="s">
        <v>11</v>
      </c>
      <c r="I217">
        <v>2008</v>
      </c>
      <c r="J217" s="1">
        <f>penglings[[#This Row],[bill_length_mm]]/2</f>
        <v>27.15</v>
      </c>
    </row>
    <row r="218" spans="1:10" x14ac:dyDescent="0.3">
      <c r="A218">
        <v>217</v>
      </c>
      <c r="B218" s="1" t="s">
        <v>16</v>
      </c>
      <c r="C218" s="1" t="s">
        <v>14</v>
      </c>
      <c r="D218" s="2">
        <v>45.8</v>
      </c>
      <c r="E218" s="2">
        <v>14.2</v>
      </c>
      <c r="F218" s="2">
        <v>219</v>
      </c>
      <c r="G218" s="2">
        <v>4700</v>
      </c>
      <c r="H218" s="1" t="s">
        <v>12</v>
      </c>
      <c r="I218">
        <v>2008</v>
      </c>
      <c r="J218" s="1">
        <f>penglings[[#This Row],[bill_length_mm]]/2</f>
        <v>22.9</v>
      </c>
    </row>
    <row r="219" spans="1:10" x14ac:dyDescent="0.3">
      <c r="A219">
        <v>218</v>
      </c>
      <c r="B219" s="1" t="s">
        <v>16</v>
      </c>
      <c r="C219" s="1" t="s">
        <v>14</v>
      </c>
      <c r="D219" s="2">
        <v>49.8</v>
      </c>
      <c r="E219" s="2">
        <v>16.8</v>
      </c>
      <c r="F219" s="2">
        <v>230</v>
      </c>
      <c r="G219" s="2">
        <v>5700</v>
      </c>
      <c r="H219" s="1" t="s">
        <v>11</v>
      </c>
      <c r="I219">
        <v>2008</v>
      </c>
      <c r="J219" s="1">
        <f>penglings[[#This Row],[bill_length_mm]]/2</f>
        <v>24.9</v>
      </c>
    </row>
    <row r="220" spans="1:10" x14ac:dyDescent="0.3">
      <c r="A220">
        <v>219</v>
      </c>
      <c r="B220" s="1" t="s">
        <v>16</v>
      </c>
      <c r="C220" s="1" t="s">
        <v>14</v>
      </c>
      <c r="D220" s="2">
        <v>46.2</v>
      </c>
      <c r="E220" s="2">
        <v>14.4</v>
      </c>
      <c r="F220" s="2">
        <v>214</v>
      </c>
      <c r="G220" s="2">
        <v>4650</v>
      </c>
      <c r="H220" s="1" t="s">
        <v>13</v>
      </c>
      <c r="I220">
        <v>2008</v>
      </c>
      <c r="J220" s="1">
        <f>penglings[[#This Row],[bill_length_mm]]/2</f>
        <v>23.1</v>
      </c>
    </row>
    <row r="221" spans="1:10" x14ac:dyDescent="0.3">
      <c r="A221">
        <v>220</v>
      </c>
      <c r="B221" s="1" t="s">
        <v>16</v>
      </c>
      <c r="C221" s="1" t="s">
        <v>14</v>
      </c>
      <c r="D221" s="2">
        <v>49.5</v>
      </c>
      <c r="E221" s="2">
        <v>16.2</v>
      </c>
      <c r="F221" s="2">
        <v>229</v>
      </c>
      <c r="G221" s="2">
        <v>5800</v>
      </c>
      <c r="H221" s="1" t="s">
        <v>11</v>
      </c>
      <c r="I221">
        <v>2008</v>
      </c>
      <c r="J221" s="1">
        <f>penglings[[#This Row],[bill_length_mm]]/2</f>
        <v>24.75</v>
      </c>
    </row>
    <row r="222" spans="1:10" x14ac:dyDescent="0.3">
      <c r="A222">
        <v>221</v>
      </c>
      <c r="B222" s="1" t="s">
        <v>16</v>
      </c>
      <c r="C222" s="1" t="s">
        <v>14</v>
      </c>
      <c r="D222" s="2">
        <v>43.5</v>
      </c>
      <c r="E222" s="2">
        <v>14.2</v>
      </c>
      <c r="F222" s="2">
        <v>220</v>
      </c>
      <c r="G222" s="2">
        <v>4700</v>
      </c>
      <c r="H222" s="1" t="s">
        <v>12</v>
      </c>
      <c r="I222">
        <v>2008</v>
      </c>
      <c r="J222" s="1">
        <f>penglings[[#This Row],[bill_length_mm]]/2</f>
        <v>21.75</v>
      </c>
    </row>
    <row r="223" spans="1:10" x14ac:dyDescent="0.3">
      <c r="A223">
        <v>222</v>
      </c>
      <c r="B223" s="1" t="s">
        <v>16</v>
      </c>
      <c r="C223" s="1" t="s">
        <v>14</v>
      </c>
      <c r="D223" s="2">
        <v>50.7</v>
      </c>
      <c r="E223" s="2">
        <v>15</v>
      </c>
      <c r="F223" s="2">
        <v>223</v>
      </c>
      <c r="G223" s="2">
        <v>5550</v>
      </c>
      <c r="H223" s="1" t="s">
        <v>11</v>
      </c>
      <c r="I223">
        <v>2008</v>
      </c>
      <c r="J223" s="1">
        <f>penglings[[#This Row],[bill_length_mm]]/2</f>
        <v>25.35</v>
      </c>
    </row>
    <row r="224" spans="1:10" x14ac:dyDescent="0.3">
      <c r="A224">
        <v>223</v>
      </c>
      <c r="B224" s="1" t="s">
        <v>16</v>
      </c>
      <c r="C224" s="1" t="s">
        <v>14</v>
      </c>
      <c r="D224" s="2">
        <v>47.7</v>
      </c>
      <c r="E224" s="2">
        <v>15</v>
      </c>
      <c r="F224" s="2">
        <v>216</v>
      </c>
      <c r="G224" s="2">
        <v>4750</v>
      </c>
      <c r="H224" s="1" t="s">
        <v>12</v>
      </c>
      <c r="I224">
        <v>2008</v>
      </c>
      <c r="J224" s="1">
        <f>penglings[[#This Row],[bill_length_mm]]/2</f>
        <v>23.85</v>
      </c>
    </row>
    <row r="225" spans="1:10" x14ac:dyDescent="0.3">
      <c r="A225">
        <v>224</v>
      </c>
      <c r="B225" s="1" t="s">
        <v>16</v>
      </c>
      <c r="C225" s="1" t="s">
        <v>14</v>
      </c>
      <c r="D225" s="2">
        <v>46.4</v>
      </c>
      <c r="E225" s="2">
        <v>15.6</v>
      </c>
      <c r="F225" s="2">
        <v>221</v>
      </c>
      <c r="G225" s="2">
        <v>5000</v>
      </c>
      <c r="H225" s="1" t="s">
        <v>11</v>
      </c>
      <c r="I225">
        <v>2008</v>
      </c>
      <c r="J225" s="1">
        <f>penglings[[#This Row],[bill_length_mm]]/2</f>
        <v>23.2</v>
      </c>
    </row>
    <row r="226" spans="1:10" x14ac:dyDescent="0.3">
      <c r="A226">
        <v>225</v>
      </c>
      <c r="B226" s="1" t="s">
        <v>16</v>
      </c>
      <c r="C226" s="1" t="s">
        <v>14</v>
      </c>
      <c r="D226" s="2">
        <v>48.2</v>
      </c>
      <c r="E226" s="2">
        <v>15.6</v>
      </c>
      <c r="F226" s="2">
        <v>221</v>
      </c>
      <c r="G226" s="2">
        <v>5100</v>
      </c>
      <c r="H226" s="1" t="s">
        <v>11</v>
      </c>
      <c r="I226">
        <v>2008</v>
      </c>
      <c r="J226" s="1">
        <f>penglings[[#This Row],[bill_length_mm]]/2</f>
        <v>24.1</v>
      </c>
    </row>
    <row r="227" spans="1:10" x14ac:dyDescent="0.3">
      <c r="A227">
        <v>226</v>
      </c>
      <c r="B227" s="1" t="s">
        <v>16</v>
      </c>
      <c r="C227" s="1" t="s">
        <v>14</v>
      </c>
      <c r="D227" s="2">
        <v>46.5</v>
      </c>
      <c r="E227" s="2">
        <v>14.8</v>
      </c>
      <c r="F227" s="2">
        <v>217</v>
      </c>
      <c r="G227" s="2">
        <v>5200</v>
      </c>
      <c r="H227" s="1" t="s">
        <v>12</v>
      </c>
      <c r="I227">
        <v>2008</v>
      </c>
      <c r="J227" s="1">
        <f>penglings[[#This Row],[bill_length_mm]]/2</f>
        <v>23.25</v>
      </c>
    </row>
    <row r="228" spans="1:10" x14ac:dyDescent="0.3">
      <c r="A228">
        <v>227</v>
      </c>
      <c r="B228" s="1" t="s">
        <v>16</v>
      </c>
      <c r="C228" s="1" t="s">
        <v>14</v>
      </c>
      <c r="D228" s="2">
        <v>46.4</v>
      </c>
      <c r="E228" s="2">
        <v>15</v>
      </c>
      <c r="F228" s="2">
        <v>216</v>
      </c>
      <c r="G228" s="2">
        <v>4700</v>
      </c>
      <c r="H228" s="1" t="s">
        <v>12</v>
      </c>
      <c r="I228">
        <v>2008</v>
      </c>
      <c r="J228" s="1">
        <f>penglings[[#This Row],[bill_length_mm]]/2</f>
        <v>23.2</v>
      </c>
    </row>
    <row r="229" spans="1:10" x14ac:dyDescent="0.3">
      <c r="A229">
        <v>228</v>
      </c>
      <c r="B229" s="1" t="s">
        <v>16</v>
      </c>
      <c r="C229" s="1" t="s">
        <v>14</v>
      </c>
      <c r="D229" s="2">
        <v>48.6</v>
      </c>
      <c r="E229" s="2">
        <v>16</v>
      </c>
      <c r="F229" s="2">
        <v>230</v>
      </c>
      <c r="G229" s="2">
        <v>5800</v>
      </c>
      <c r="H229" s="1" t="s">
        <v>11</v>
      </c>
      <c r="I229">
        <v>2008</v>
      </c>
      <c r="J229" s="1">
        <f>penglings[[#This Row],[bill_length_mm]]/2</f>
        <v>24.3</v>
      </c>
    </row>
    <row r="230" spans="1:10" x14ac:dyDescent="0.3">
      <c r="A230">
        <v>229</v>
      </c>
      <c r="B230" s="1" t="s">
        <v>16</v>
      </c>
      <c r="C230" s="1" t="s">
        <v>14</v>
      </c>
      <c r="D230" s="2">
        <v>47.5</v>
      </c>
      <c r="E230" s="2">
        <v>14.2</v>
      </c>
      <c r="F230" s="2">
        <v>209</v>
      </c>
      <c r="G230" s="2">
        <v>4600</v>
      </c>
      <c r="H230" s="1" t="s">
        <v>12</v>
      </c>
      <c r="I230">
        <v>2008</v>
      </c>
      <c r="J230" s="1">
        <f>penglings[[#This Row],[bill_length_mm]]/2</f>
        <v>23.75</v>
      </c>
    </row>
    <row r="231" spans="1:10" x14ac:dyDescent="0.3">
      <c r="A231">
        <v>230</v>
      </c>
      <c r="B231" s="1" t="s">
        <v>16</v>
      </c>
      <c r="C231" s="1" t="s">
        <v>14</v>
      </c>
      <c r="D231" s="2">
        <v>51.1</v>
      </c>
      <c r="E231" s="2">
        <v>16.3</v>
      </c>
      <c r="F231" s="2">
        <v>220</v>
      </c>
      <c r="G231" s="2">
        <v>6000</v>
      </c>
      <c r="H231" s="1" t="s">
        <v>11</v>
      </c>
      <c r="I231">
        <v>2008</v>
      </c>
      <c r="J231" s="1">
        <f>penglings[[#This Row],[bill_length_mm]]/2</f>
        <v>25.55</v>
      </c>
    </row>
    <row r="232" spans="1:10" x14ac:dyDescent="0.3">
      <c r="A232">
        <v>231</v>
      </c>
      <c r="B232" s="1" t="s">
        <v>16</v>
      </c>
      <c r="C232" s="1" t="s">
        <v>14</v>
      </c>
      <c r="D232" s="2">
        <v>45.2</v>
      </c>
      <c r="E232" s="2">
        <v>13.8</v>
      </c>
      <c r="F232" s="2">
        <v>215</v>
      </c>
      <c r="G232" s="2">
        <v>4750</v>
      </c>
      <c r="H232" s="1" t="s">
        <v>12</v>
      </c>
      <c r="I232">
        <v>2008</v>
      </c>
      <c r="J232" s="1">
        <f>penglings[[#This Row],[bill_length_mm]]/2</f>
        <v>22.6</v>
      </c>
    </row>
    <row r="233" spans="1:10" x14ac:dyDescent="0.3">
      <c r="A233">
        <v>232</v>
      </c>
      <c r="B233" s="1" t="s">
        <v>16</v>
      </c>
      <c r="C233" s="1" t="s">
        <v>14</v>
      </c>
      <c r="D233" s="2">
        <v>45.2</v>
      </c>
      <c r="E233" s="2">
        <v>16.399999999999999</v>
      </c>
      <c r="F233" s="2">
        <v>223</v>
      </c>
      <c r="G233" s="2">
        <v>5950</v>
      </c>
      <c r="H233" s="1" t="s">
        <v>11</v>
      </c>
      <c r="I233">
        <v>2008</v>
      </c>
      <c r="J233" s="1">
        <f>penglings[[#This Row],[bill_length_mm]]/2</f>
        <v>22.6</v>
      </c>
    </row>
    <row r="234" spans="1:10" x14ac:dyDescent="0.3">
      <c r="A234">
        <v>233</v>
      </c>
      <c r="B234" s="1" t="s">
        <v>16</v>
      </c>
      <c r="C234" s="1" t="s">
        <v>14</v>
      </c>
      <c r="D234" s="2">
        <v>49.1</v>
      </c>
      <c r="E234" s="2">
        <v>14.5</v>
      </c>
      <c r="F234" s="2">
        <v>212</v>
      </c>
      <c r="G234" s="2">
        <v>4625</v>
      </c>
      <c r="H234" s="1" t="s">
        <v>12</v>
      </c>
      <c r="I234">
        <v>2009</v>
      </c>
      <c r="J234" s="1">
        <f>penglings[[#This Row],[bill_length_mm]]/2</f>
        <v>24.55</v>
      </c>
    </row>
    <row r="235" spans="1:10" x14ac:dyDescent="0.3">
      <c r="A235">
        <v>234</v>
      </c>
      <c r="B235" s="1" t="s">
        <v>16</v>
      </c>
      <c r="C235" s="1" t="s">
        <v>14</v>
      </c>
      <c r="D235" s="2">
        <v>52.5</v>
      </c>
      <c r="E235" s="2">
        <v>15.6</v>
      </c>
      <c r="F235" s="2">
        <v>221</v>
      </c>
      <c r="G235" s="2">
        <v>5450</v>
      </c>
      <c r="H235" s="1" t="s">
        <v>11</v>
      </c>
      <c r="I235">
        <v>2009</v>
      </c>
      <c r="J235" s="1">
        <f>penglings[[#This Row],[bill_length_mm]]/2</f>
        <v>26.25</v>
      </c>
    </row>
    <row r="236" spans="1:10" x14ac:dyDescent="0.3">
      <c r="A236">
        <v>235</v>
      </c>
      <c r="B236" s="1" t="s">
        <v>16</v>
      </c>
      <c r="C236" s="1" t="s">
        <v>14</v>
      </c>
      <c r="D236" s="2">
        <v>47.4</v>
      </c>
      <c r="E236" s="2">
        <v>14.6</v>
      </c>
      <c r="F236" s="2">
        <v>212</v>
      </c>
      <c r="G236" s="2">
        <v>4725</v>
      </c>
      <c r="H236" s="1" t="s">
        <v>12</v>
      </c>
      <c r="I236">
        <v>2009</v>
      </c>
      <c r="J236" s="1">
        <f>penglings[[#This Row],[bill_length_mm]]/2</f>
        <v>23.7</v>
      </c>
    </row>
    <row r="237" spans="1:10" x14ac:dyDescent="0.3">
      <c r="A237">
        <v>236</v>
      </c>
      <c r="B237" s="1" t="s">
        <v>16</v>
      </c>
      <c r="C237" s="1" t="s">
        <v>14</v>
      </c>
      <c r="D237" s="2">
        <v>50</v>
      </c>
      <c r="E237" s="2">
        <v>15.9</v>
      </c>
      <c r="F237" s="2">
        <v>224</v>
      </c>
      <c r="G237" s="2">
        <v>5350</v>
      </c>
      <c r="H237" s="1" t="s">
        <v>11</v>
      </c>
      <c r="I237">
        <v>2009</v>
      </c>
      <c r="J237" s="1">
        <f>penglings[[#This Row],[bill_length_mm]]/2</f>
        <v>25</v>
      </c>
    </row>
    <row r="238" spans="1:10" x14ac:dyDescent="0.3">
      <c r="A238">
        <v>237</v>
      </c>
      <c r="B238" s="1" t="s">
        <v>16</v>
      </c>
      <c r="C238" s="1" t="s">
        <v>14</v>
      </c>
      <c r="D238" s="2">
        <v>44.9</v>
      </c>
      <c r="E238" s="2">
        <v>13.8</v>
      </c>
      <c r="F238" s="2">
        <v>212</v>
      </c>
      <c r="G238" s="2">
        <v>4750</v>
      </c>
      <c r="H238" s="1" t="s">
        <v>12</v>
      </c>
      <c r="I238">
        <v>2009</v>
      </c>
      <c r="J238" s="1">
        <f>penglings[[#This Row],[bill_length_mm]]/2</f>
        <v>22.45</v>
      </c>
    </row>
    <row r="239" spans="1:10" x14ac:dyDescent="0.3">
      <c r="A239">
        <v>238</v>
      </c>
      <c r="B239" s="1" t="s">
        <v>16</v>
      </c>
      <c r="C239" s="1" t="s">
        <v>14</v>
      </c>
      <c r="D239" s="2">
        <v>50.8</v>
      </c>
      <c r="E239" s="2">
        <v>17.3</v>
      </c>
      <c r="F239" s="2">
        <v>228</v>
      </c>
      <c r="G239" s="2">
        <v>5600</v>
      </c>
      <c r="H239" s="1" t="s">
        <v>11</v>
      </c>
      <c r="I239">
        <v>2009</v>
      </c>
      <c r="J239" s="1">
        <f>penglings[[#This Row],[bill_length_mm]]/2</f>
        <v>25.4</v>
      </c>
    </row>
    <row r="240" spans="1:10" x14ac:dyDescent="0.3">
      <c r="A240">
        <v>239</v>
      </c>
      <c r="B240" s="1" t="s">
        <v>16</v>
      </c>
      <c r="C240" s="1" t="s">
        <v>14</v>
      </c>
      <c r="D240" s="2">
        <v>43.4</v>
      </c>
      <c r="E240" s="2">
        <v>14.4</v>
      </c>
      <c r="F240" s="2">
        <v>218</v>
      </c>
      <c r="G240" s="2">
        <v>4600</v>
      </c>
      <c r="H240" s="1" t="s">
        <v>12</v>
      </c>
      <c r="I240">
        <v>2009</v>
      </c>
      <c r="J240" s="1">
        <f>penglings[[#This Row],[bill_length_mm]]/2</f>
        <v>21.7</v>
      </c>
    </row>
    <row r="241" spans="1:10" x14ac:dyDescent="0.3">
      <c r="A241">
        <v>240</v>
      </c>
      <c r="B241" s="1" t="s">
        <v>16</v>
      </c>
      <c r="C241" s="1" t="s">
        <v>14</v>
      </c>
      <c r="D241" s="2">
        <v>51.3</v>
      </c>
      <c r="E241" s="2">
        <v>14.2</v>
      </c>
      <c r="F241" s="2">
        <v>218</v>
      </c>
      <c r="G241" s="2">
        <v>5300</v>
      </c>
      <c r="H241" s="1" t="s">
        <v>11</v>
      </c>
      <c r="I241">
        <v>2009</v>
      </c>
      <c r="J241" s="1">
        <f>penglings[[#This Row],[bill_length_mm]]/2</f>
        <v>25.65</v>
      </c>
    </row>
    <row r="242" spans="1:10" x14ac:dyDescent="0.3">
      <c r="A242">
        <v>241</v>
      </c>
      <c r="B242" s="1" t="s">
        <v>16</v>
      </c>
      <c r="C242" s="1" t="s">
        <v>14</v>
      </c>
      <c r="D242" s="2">
        <v>47.5</v>
      </c>
      <c r="E242" s="2">
        <v>14</v>
      </c>
      <c r="F242" s="2">
        <v>212</v>
      </c>
      <c r="G242" s="2">
        <v>4875</v>
      </c>
      <c r="H242" s="1" t="s">
        <v>12</v>
      </c>
      <c r="I242">
        <v>2009</v>
      </c>
      <c r="J242" s="1">
        <f>penglings[[#This Row],[bill_length_mm]]/2</f>
        <v>23.75</v>
      </c>
    </row>
    <row r="243" spans="1:10" x14ac:dyDescent="0.3">
      <c r="A243">
        <v>242</v>
      </c>
      <c r="B243" s="1" t="s">
        <v>16</v>
      </c>
      <c r="C243" s="1" t="s">
        <v>14</v>
      </c>
      <c r="D243" s="2">
        <v>52.1</v>
      </c>
      <c r="E243" s="2">
        <v>17</v>
      </c>
      <c r="F243" s="2">
        <v>230</v>
      </c>
      <c r="G243" s="2">
        <v>5550</v>
      </c>
      <c r="H243" s="1" t="s">
        <v>11</v>
      </c>
      <c r="I243">
        <v>2009</v>
      </c>
      <c r="J243" s="1">
        <f>penglings[[#This Row],[bill_length_mm]]/2</f>
        <v>26.05</v>
      </c>
    </row>
    <row r="244" spans="1:10" x14ac:dyDescent="0.3">
      <c r="A244">
        <v>243</v>
      </c>
      <c r="B244" s="1" t="s">
        <v>16</v>
      </c>
      <c r="C244" s="1" t="s">
        <v>14</v>
      </c>
      <c r="D244" s="2">
        <v>47.5</v>
      </c>
      <c r="E244" s="2">
        <v>15</v>
      </c>
      <c r="F244" s="2">
        <v>218</v>
      </c>
      <c r="G244" s="2">
        <v>4950</v>
      </c>
      <c r="H244" s="1" t="s">
        <v>12</v>
      </c>
      <c r="I244">
        <v>2009</v>
      </c>
      <c r="J244" s="1">
        <f>penglings[[#This Row],[bill_length_mm]]/2</f>
        <v>23.75</v>
      </c>
    </row>
    <row r="245" spans="1:10" x14ac:dyDescent="0.3">
      <c r="A245">
        <v>244</v>
      </c>
      <c r="B245" s="1" t="s">
        <v>16</v>
      </c>
      <c r="C245" s="1" t="s">
        <v>14</v>
      </c>
      <c r="D245" s="2">
        <v>52.2</v>
      </c>
      <c r="E245" s="2">
        <v>17.100000000000001</v>
      </c>
      <c r="F245" s="2">
        <v>228</v>
      </c>
      <c r="G245" s="2">
        <v>5400</v>
      </c>
      <c r="H245" s="1" t="s">
        <v>11</v>
      </c>
      <c r="I245">
        <v>2009</v>
      </c>
      <c r="J245" s="1">
        <f>penglings[[#This Row],[bill_length_mm]]/2</f>
        <v>26.1</v>
      </c>
    </row>
    <row r="246" spans="1:10" x14ac:dyDescent="0.3">
      <c r="A246">
        <v>245</v>
      </c>
      <c r="B246" s="1" t="s">
        <v>16</v>
      </c>
      <c r="C246" s="1" t="s">
        <v>14</v>
      </c>
      <c r="D246" s="2">
        <v>45.5</v>
      </c>
      <c r="E246" s="2">
        <v>14.5</v>
      </c>
      <c r="F246" s="2">
        <v>212</v>
      </c>
      <c r="G246" s="2">
        <v>4750</v>
      </c>
      <c r="H246" s="1" t="s">
        <v>12</v>
      </c>
      <c r="I246">
        <v>2009</v>
      </c>
      <c r="J246" s="1">
        <f>penglings[[#This Row],[bill_length_mm]]/2</f>
        <v>22.75</v>
      </c>
    </row>
    <row r="247" spans="1:10" x14ac:dyDescent="0.3">
      <c r="A247">
        <v>246</v>
      </c>
      <c r="B247" s="1" t="s">
        <v>16</v>
      </c>
      <c r="C247" s="1" t="s">
        <v>14</v>
      </c>
      <c r="D247" s="2">
        <v>49.5</v>
      </c>
      <c r="E247" s="2">
        <v>16.100000000000001</v>
      </c>
      <c r="F247" s="2">
        <v>224</v>
      </c>
      <c r="G247" s="2">
        <v>5650</v>
      </c>
      <c r="H247" s="1" t="s">
        <v>11</v>
      </c>
      <c r="I247">
        <v>2009</v>
      </c>
      <c r="J247" s="1">
        <f>penglings[[#This Row],[bill_length_mm]]/2</f>
        <v>24.75</v>
      </c>
    </row>
    <row r="248" spans="1:10" x14ac:dyDescent="0.3">
      <c r="A248">
        <v>247</v>
      </c>
      <c r="B248" s="1" t="s">
        <v>16</v>
      </c>
      <c r="C248" s="1" t="s">
        <v>14</v>
      </c>
      <c r="D248" s="2">
        <v>44.5</v>
      </c>
      <c r="E248" s="2">
        <v>14.7</v>
      </c>
      <c r="F248" s="2">
        <v>214</v>
      </c>
      <c r="G248" s="2">
        <v>4850</v>
      </c>
      <c r="H248" s="1" t="s">
        <v>12</v>
      </c>
      <c r="I248">
        <v>2009</v>
      </c>
      <c r="J248" s="1">
        <f>penglings[[#This Row],[bill_length_mm]]/2</f>
        <v>22.25</v>
      </c>
    </row>
    <row r="249" spans="1:10" x14ac:dyDescent="0.3">
      <c r="A249">
        <v>248</v>
      </c>
      <c r="B249" s="1" t="s">
        <v>16</v>
      </c>
      <c r="C249" s="1" t="s">
        <v>14</v>
      </c>
      <c r="D249" s="2">
        <v>50.8</v>
      </c>
      <c r="E249" s="2">
        <v>15.7</v>
      </c>
      <c r="F249" s="2">
        <v>226</v>
      </c>
      <c r="G249" s="2">
        <v>5200</v>
      </c>
      <c r="H249" s="1" t="s">
        <v>11</v>
      </c>
      <c r="I249">
        <v>2009</v>
      </c>
      <c r="J249" s="1">
        <f>penglings[[#This Row],[bill_length_mm]]/2</f>
        <v>25.4</v>
      </c>
    </row>
    <row r="250" spans="1:10" x14ac:dyDescent="0.3">
      <c r="A250">
        <v>249</v>
      </c>
      <c r="B250" s="1" t="s">
        <v>16</v>
      </c>
      <c r="C250" s="1" t="s">
        <v>14</v>
      </c>
      <c r="D250" s="2">
        <v>49.4</v>
      </c>
      <c r="E250" s="2">
        <v>15.8</v>
      </c>
      <c r="F250" s="2">
        <v>216</v>
      </c>
      <c r="G250" s="2">
        <v>4925</v>
      </c>
      <c r="H250" s="1" t="s">
        <v>11</v>
      </c>
      <c r="I250">
        <v>2009</v>
      </c>
      <c r="J250" s="1">
        <f>penglings[[#This Row],[bill_length_mm]]/2</f>
        <v>24.7</v>
      </c>
    </row>
    <row r="251" spans="1:10" x14ac:dyDescent="0.3">
      <c r="A251">
        <v>250</v>
      </c>
      <c r="B251" s="1" t="s">
        <v>16</v>
      </c>
      <c r="C251" s="1" t="s">
        <v>14</v>
      </c>
      <c r="D251" s="2">
        <v>46.9</v>
      </c>
      <c r="E251" s="2">
        <v>14.6</v>
      </c>
      <c r="F251" s="2">
        <v>222</v>
      </c>
      <c r="G251" s="2">
        <v>4875</v>
      </c>
      <c r="H251" s="1" t="s">
        <v>12</v>
      </c>
      <c r="I251">
        <v>2009</v>
      </c>
      <c r="J251" s="1">
        <f>penglings[[#This Row],[bill_length_mm]]/2</f>
        <v>23.45</v>
      </c>
    </row>
    <row r="252" spans="1:10" x14ac:dyDescent="0.3">
      <c r="A252">
        <v>251</v>
      </c>
      <c r="B252" s="1" t="s">
        <v>16</v>
      </c>
      <c r="C252" s="1" t="s">
        <v>14</v>
      </c>
      <c r="D252" s="2">
        <v>48.4</v>
      </c>
      <c r="E252" s="2">
        <v>14.4</v>
      </c>
      <c r="F252" s="2">
        <v>203</v>
      </c>
      <c r="G252" s="2">
        <v>4625</v>
      </c>
      <c r="H252" s="1" t="s">
        <v>12</v>
      </c>
      <c r="I252">
        <v>2009</v>
      </c>
      <c r="J252" s="1">
        <f>penglings[[#This Row],[bill_length_mm]]/2</f>
        <v>24.2</v>
      </c>
    </row>
    <row r="253" spans="1:10" x14ac:dyDescent="0.3">
      <c r="A253">
        <v>252</v>
      </c>
      <c r="B253" s="1" t="s">
        <v>16</v>
      </c>
      <c r="C253" s="1" t="s">
        <v>14</v>
      </c>
      <c r="D253" s="2">
        <v>51.1</v>
      </c>
      <c r="E253" s="2">
        <v>16.5</v>
      </c>
      <c r="F253" s="2">
        <v>225</v>
      </c>
      <c r="G253" s="2">
        <v>5250</v>
      </c>
      <c r="H253" s="1" t="s">
        <v>11</v>
      </c>
      <c r="I253">
        <v>2009</v>
      </c>
      <c r="J253" s="1">
        <f>penglings[[#This Row],[bill_length_mm]]/2</f>
        <v>25.55</v>
      </c>
    </row>
    <row r="254" spans="1:10" x14ac:dyDescent="0.3">
      <c r="A254">
        <v>253</v>
      </c>
      <c r="B254" s="1" t="s">
        <v>16</v>
      </c>
      <c r="C254" s="1" t="s">
        <v>14</v>
      </c>
      <c r="D254" s="2">
        <v>48.5</v>
      </c>
      <c r="E254" s="2">
        <v>15</v>
      </c>
      <c r="F254" s="2">
        <v>219</v>
      </c>
      <c r="G254" s="2">
        <v>4850</v>
      </c>
      <c r="H254" s="1" t="s">
        <v>12</v>
      </c>
      <c r="I254">
        <v>2009</v>
      </c>
      <c r="J254" s="1">
        <f>penglings[[#This Row],[bill_length_mm]]/2</f>
        <v>24.25</v>
      </c>
    </row>
    <row r="255" spans="1:10" x14ac:dyDescent="0.3">
      <c r="A255">
        <v>254</v>
      </c>
      <c r="B255" s="1" t="s">
        <v>16</v>
      </c>
      <c r="C255" s="1" t="s">
        <v>14</v>
      </c>
      <c r="D255" s="2">
        <v>55.9</v>
      </c>
      <c r="E255" s="2">
        <v>17</v>
      </c>
      <c r="F255" s="2">
        <v>228</v>
      </c>
      <c r="G255" s="2">
        <v>5600</v>
      </c>
      <c r="H255" s="1" t="s">
        <v>11</v>
      </c>
      <c r="I255">
        <v>2009</v>
      </c>
      <c r="J255" s="1">
        <f>penglings[[#This Row],[bill_length_mm]]/2</f>
        <v>27.95</v>
      </c>
    </row>
    <row r="256" spans="1:10" x14ac:dyDescent="0.3">
      <c r="A256">
        <v>255</v>
      </c>
      <c r="B256" s="1" t="s">
        <v>16</v>
      </c>
      <c r="C256" s="1" t="s">
        <v>14</v>
      </c>
      <c r="D256" s="2">
        <v>47.2</v>
      </c>
      <c r="E256" s="2">
        <v>15.5</v>
      </c>
      <c r="F256" s="2">
        <v>215</v>
      </c>
      <c r="G256" s="2">
        <v>4975</v>
      </c>
      <c r="H256" s="1" t="s">
        <v>12</v>
      </c>
      <c r="I256">
        <v>2009</v>
      </c>
      <c r="J256" s="1">
        <f>penglings[[#This Row],[bill_length_mm]]/2</f>
        <v>23.6</v>
      </c>
    </row>
    <row r="257" spans="1:10" x14ac:dyDescent="0.3">
      <c r="A257">
        <v>256</v>
      </c>
      <c r="B257" s="1" t="s">
        <v>16</v>
      </c>
      <c r="C257" s="1" t="s">
        <v>14</v>
      </c>
      <c r="D257" s="2">
        <v>49.1</v>
      </c>
      <c r="E257" s="2">
        <v>15</v>
      </c>
      <c r="F257" s="2">
        <v>228</v>
      </c>
      <c r="G257" s="2">
        <v>5500</v>
      </c>
      <c r="H257" s="1" t="s">
        <v>11</v>
      </c>
      <c r="I257">
        <v>2009</v>
      </c>
      <c r="J257" s="1">
        <f>penglings[[#This Row],[bill_length_mm]]/2</f>
        <v>24.55</v>
      </c>
    </row>
    <row r="258" spans="1:10" x14ac:dyDescent="0.3">
      <c r="A258">
        <v>257</v>
      </c>
      <c r="B258" s="1" t="s">
        <v>16</v>
      </c>
      <c r="C258" s="1" t="s">
        <v>14</v>
      </c>
      <c r="D258" s="2">
        <v>47.3</v>
      </c>
      <c r="E258" s="2">
        <v>13.8</v>
      </c>
      <c r="F258" s="2">
        <v>216</v>
      </c>
      <c r="G258" s="2">
        <v>4725</v>
      </c>
      <c r="H258" s="1" t="s">
        <v>13</v>
      </c>
      <c r="I258">
        <v>2009</v>
      </c>
      <c r="J258" s="1">
        <f>penglings[[#This Row],[bill_length_mm]]/2</f>
        <v>23.65</v>
      </c>
    </row>
    <row r="259" spans="1:10" x14ac:dyDescent="0.3">
      <c r="A259">
        <v>258</v>
      </c>
      <c r="B259" s="1" t="s">
        <v>16</v>
      </c>
      <c r="C259" s="1" t="s">
        <v>14</v>
      </c>
      <c r="D259" s="2">
        <v>46.8</v>
      </c>
      <c r="E259" s="2">
        <v>16.100000000000001</v>
      </c>
      <c r="F259" s="2">
        <v>215</v>
      </c>
      <c r="G259" s="2">
        <v>5500</v>
      </c>
      <c r="H259" s="1" t="s">
        <v>11</v>
      </c>
      <c r="I259">
        <v>2009</v>
      </c>
      <c r="J259" s="1">
        <f>penglings[[#This Row],[bill_length_mm]]/2</f>
        <v>23.4</v>
      </c>
    </row>
    <row r="260" spans="1:10" x14ac:dyDescent="0.3">
      <c r="A260">
        <v>259</v>
      </c>
      <c r="B260" s="1" t="s">
        <v>16</v>
      </c>
      <c r="C260" s="1" t="s">
        <v>14</v>
      </c>
      <c r="D260" s="2">
        <v>41.7</v>
      </c>
      <c r="E260" s="2">
        <v>14.7</v>
      </c>
      <c r="F260" s="2">
        <v>210</v>
      </c>
      <c r="G260" s="2">
        <v>4700</v>
      </c>
      <c r="H260" s="1" t="s">
        <v>12</v>
      </c>
      <c r="I260">
        <v>2009</v>
      </c>
      <c r="J260" s="1">
        <f>penglings[[#This Row],[bill_length_mm]]/2</f>
        <v>20.85</v>
      </c>
    </row>
    <row r="261" spans="1:10" x14ac:dyDescent="0.3">
      <c r="A261">
        <v>260</v>
      </c>
      <c r="B261" s="1" t="s">
        <v>16</v>
      </c>
      <c r="C261" s="1" t="s">
        <v>14</v>
      </c>
      <c r="D261" s="2">
        <v>53.4</v>
      </c>
      <c r="E261" s="2">
        <v>15.8</v>
      </c>
      <c r="F261" s="2">
        <v>219</v>
      </c>
      <c r="G261" s="2">
        <v>5500</v>
      </c>
      <c r="H261" s="1" t="s">
        <v>11</v>
      </c>
      <c r="I261">
        <v>2009</v>
      </c>
      <c r="J261" s="1">
        <f>penglings[[#This Row],[bill_length_mm]]/2</f>
        <v>26.7</v>
      </c>
    </row>
    <row r="262" spans="1:10" x14ac:dyDescent="0.3">
      <c r="A262">
        <v>261</v>
      </c>
      <c r="B262" s="1" t="s">
        <v>16</v>
      </c>
      <c r="C262" s="1" t="s">
        <v>14</v>
      </c>
      <c r="D262" s="2">
        <v>43.3</v>
      </c>
      <c r="E262" s="2">
        <v>14</v>
      </c>
      <c r="F262" s="2">
        <v>208</v>
      </c>
      <c r="G262" s="2">
        <v>4575</v>
      </c>
      <c r="H262" s="1" t="s">
        <v>12</v>
      </c>
      <c r="I262">
        <v>2009</v>
      </c>
      <c r="J262" s="1">
        <f>penglings[[#This Row],[bill_length_mm]]/2</f>
        <v>21.65</v>
      </c>
    </row>
    <row r="263" spans="1:10" x14ac:dyDescent="0.3">
      <c r="A263">
        <v>262</v>
      </c>
      <c r="B263" s="1" t="s">
        <v>16</v>
      </c>
      <c r="C263" s="1" t="s">
        <v>14</v>
      </c>
      <c r="D263" s="2">
        <v>48.1</v>
      </c>
      <c r="E263" s="2">
        <v>15.1</v>
      </c>
      <c r="F263" s="2">
        <v>209</v>
      </c>
      <c r="G263" s="2">
        <v>5500</v>
      </c>
      <c r="H263" s="1" t="s">
        <v>11</v>
      </c>
      <c r="I263">
        <v>2009</v>
      </c>
      <c r="J263" s="1">
        <f>penglings[[#This Row],[bill_length_mm]]/2</f>
        <v>24.05</v>
      </c>
    </row>
    <row r="264" spans="1:10" x14ac:dyDescent="0.3">
      <c r="A264">
        <v>263</v>
      </c>
      <c r="B264" s="1" t="s">
        <v>16</v>
      </c>
      <c r="C264" s="1" t="s">
        <v>14</v>
      </c>
      <c r="D264" s="2">
        <v>50.5</v>
      </c>
      <c r="E264" s="2">
        <v>15.2</v>
      </c>
      <c r="F264" s="2">
        <v>216</v>
      </c>
      <c r="G264" s="2">
        <v>5000</v>
      </c>
      <c r="H264" s="1" t="s">
        <v>12</v>
      </c>
      <c r="I264">
        <v>2009</v>
      </c>
      <c r="J264" s="1">
        <f>penglings[[#This Row],[bill_length_mm]]/2</f>
        <v>25.25</v>
      </c>
    </row>
    <row r="265" spans="1:10" x14ac:dyDescent="0.3">
      <c r="A265">
        <v>264</v>
      </c>
      <c r="B265" s="1" t="s">
        <v>16</v>
      </c>
      <c r="C265" s="1" t="s">
        <v>14</v>
      </c>
      <c r="D265" s="2">
        <v>49.8</v>
      </c>
      <c r="E265" s="2">
        <v>15.9</v>
      </c>
      <c r="F265" s="2">
        <v>229</v>
      </c>
      <c r="G265" s="2">
        <v>5950</v>
      </c>
      <c r="H265" s="1" t="s">
        <v>11</v>
      </c>
      <c r="I265">
        <v>2009</v>
      </c>
      <c r="J265" s="1">
        <f>penglings[[#This Row],[bill_length_mm]]/2</f>
        <v>24.9</v>
      </c>
    </row>
    <row r="266" spans="1:10" x14ac:dyDescent="0.3">
      <c r="A266">
        <v>265</v>
      </c>
      <c r="B266" s="1" t="s">
        <v>16</v>
      </c>
      <c r="C266" s="1" t="s">
        <v>14</v>
      </c>
      <c r="D266" s="2">
        <v>43.5</v>
      </c>
      <c r="E266" s="2">
        <v>15.2</v>
      </c>
      <c r="F266" s="2">
        <v>213</v>
      </c>
      <c r="G266" s="2">
        <v>4650</v>
      </c>
      <c r="H266" s="1" t="s">
        <v>12</v>
      </c>
      <c r="I266">
        <v>2009</v>
      </c>
      <c r="J266" s="1">
        <f>penglings[[#This Row],[bill_length_mm]]/2</f>
        <v>21.75</v>
      </c>
    </row>
    <row r="267" spans="1:10" x14ac:dyDescent="0.3">
      <c r="A267">
        <v>266</v>
      </c>
      <c r="B267" s="1" t="s">
        <v>16</v>
      </c>
      <c r="C267" s="1" t="s">
        <v>14</v>
      </c>
      <c r="D267" s="2">
        <v>51.5</v>
      </c>
      <c r="E267" s="2">
        <v>16.3</v>
      </c>
      <c r="F267" s="2">
        <v>230</v>
      </c>
      <c r="G267" s="2">
        <v>5500</v>
      </c>
      <c r="H267" s="1" t="s">
        <v>11</v>
      </c>
      <c r="I267">
        <v>2009</v>
      </c>
      <c r="J267" s="1">
        <f>penglings[[#This Row],[bill_length_mm]]/2</f>
        <v>25.75</v>
      </c>
    </row>
    <row r="268" spans="1:10" x14ac:dyDescent="0.3">
      <c r="A268">
        <v>267</v>
      </c>
      <c r="B268" s="1" t="s">
        <v>16</v>
      </c>
      <c r="C268" s="1" t="s">
        <v>14</v>
      </c>
      <c r="D268" s="2">
        <v>46.2</v>
      </c>
      <c r="E268" s="2">
        <v>14.1</v>
      </c>
      <c r="F268" s="2">
        <v>217</v>
      </c>
      <c r="G268" s="2">
        <v>4375</v>
      </c>
      <c r="H268" s="1" t="s">
        <v>12</v>
      </c>
      <c r="I268">
        <v>2009</v>
      </c>
      <c r="J268" s="1">
        <f>penglings[[#This Row],[bill_length_mm]]/2</f>
        <v>23.1</v>
      </c>
    </row>
    <row r="269" spans="1:10" x14ac:dyDescent="0.3">
      <c r="A269">
        <v>268</v>
      </c>
      <c r="B269" s="1" t="s">
        <v>16</v>
      </c>
      <c r="C269" s="1" t="s">
        <v>14</v>
      </c>
      <c r="D269" s="2">
        <v>55.1</v>
      </c>
      <c r="E269" s="2">
        <v>16</v>
      </c>
      <c r="F269" s="2">
        <v>230</v>
      </c>
      <c r="G269" s="2">
        <v>5850</v>
      </c>
      <c r="H269" s="1" t="s">
        <v>11</v>
      </c>
      <c r="I269">
        <v>2009</v>
      </c>
      <c r="J269" s="1">
        <f>penglings[[#This Row],[bill_length_mm]]/2</f>
        <v>27.55</v>
      </c>
    </row>
    <row r="270" spans="1:10" x14ac:dyDescent="0.3">
      <c r="A270">
        <v>269</v>
      </c>
      <c r="B270" s="1" t="s">
        <v>16</v>
      </c>
      <c r="C270" s="1" t="s">
        <v>14</v>
      </c>
      <c r="D270" s="2">
        <v>44.5</v>
      </c>
      <c r="E270" s="2">
        <v>15.7</v>
      </c>
      <c r="F270" s="2">
        <v>217</v>
      </c>
      <c r="G270" s="2">
        <v>4875</v>
      </c>
      <c r="H270" s="1" t="s">
        <v>13</v>
      </c>
      <c r="I270">
        <v>2009</v>
      </c>
      <c r="J270" s="1">
        <f>penglings[[#This Row],[bill_length_mm]]/2</f>
        <v>22.25</v>
      </c>
    </row>
    <row r="271" spans="1:10" x14ac:dyDescent="0.3">
      <c r="A271">
        <v>270</v>
      </c>
      <c r="B271" s="1" t="s">
        <v>16</v>
      </c>
      <c r="C271" s="1" t="s">
        <v>14</v>
      </c>
      <c r="D271" s="2">
        <v>48.8</v>
      </c>
      <c r="E271" s="2">
        <v>16.2</v>
      </c>
      <c r="F271" s="2">
        <v>222</v>
      </c>
      <c r="G271" s="2">
        <v>6000</v>
      </c>
      <c r="H271" s="1" t="s">
        <v>11</v>
      </c>
      <c r="I271">
        <v>2009</v>
      </c>
      <c r="J271" s="1">
        <f>penglings[[#This Row],[bill_length_mm]]/2</f>
        <v>24.4</v>
      </c>
    </row>
    <row r="272" spans="1:10" x14ac:dyDescent="0.3">
      <c r="A272">
        <v>271</v>
      </c>
      <c r="B272" s="1" t="s">
        <v>16</v>
      </c>
      <c r="C272" s="1" t="s">
        <v>14</v>
      </c>
      <c r="D272" s="2">
        <v>47.2</v>
      </c>
      <c r="E272" s="2">
        <v>13.7</v>
      </c>
      <c r="F272" s="2">
        <v>214</v>
      </c>
      <c r="G272" s="2">
        <v>4925</v>
      </c>
      <c r="H272" s="1" t="s">
        <v>12</v>
      </c>
      <c r="I272">
        <v>2009</v>
      </c>
      <c r="J272" s="1">
        <f>penglings[[#This Row],[bill_length_mm]]/2</f>
        <v>23.6</v>
      </c>
    </row>
    <row r="273" spans="1:10" hidden="1" x14ac:dyDescent="0.3">
      <c r="A273">
        <v>272</v>
      </c>
      <c r="B273" s="1" t="s">
        <v>16</v>
      </c>
      <c r="C273" s="1" t="s">
        <v>14</v>
      </c>
      <c r="D273" s="1" t="s">
        <v>13</v>
      </c>
      <c r="E273" s="1" t="s">
        <v>13</v>
      </c>
      <c r="F273" s="1" t="s">
        <v>13</v>
      </c>
      <c r="G273" s="1" t="s">
        <v>13</v>
      </c>
      <c r="H273" s="1" t="s">
        <v>13</v>
      </c>
      <c r="I273">
        <v>2009</v>
      </c>
      <c r="J273" s="1" t="e">
        <f>penglings[[#This Row],[bill_length_mm]]/2</f>
        <v>#VALUE!</v>
      </c>
    </row>
    <row r="274" spans="1:10" x14ac:dyDescent="0.3">
      <c r="A274">
        <v>273</v>
      </c>
      <c r="B274" s="1" t="s">
        <v>16</v>
      </c>
      <c r="C274" s="1" t="s">
        <v>14</v>
      </c>
      <c r="D274" s="2">
        <v>46.8</v>
      </c>
      <c r="E274" s="2">
        <v>14.3</v>
      </c>
      <c r="F274" s="2">
        <v>215</v>
      </c>
      <c r="G274" s="2">
        <v>4850</v>
      </c>
      <c r="H274" s="1" t="s">
        <v>12</v>
      </c>
      <c r="I274">
        <v>2009</v>
      </c>
      <c r="J274" s="1">
        <f>penglings[[#This Row],[bill_length_mm]]/2</f>
        <v>23.4</v>
      </c>
    </row>
    <row r="275" spans="1:10" x14ac:dyDescent="0.3">
      <c r="A275">
        <v>274</v>
      </c>
      <c r="B275" s="1" t="s">
        <v>16</v>
      </c>
      <c r="C275" s="1" t="s">
        <v>14</v>
      </c>
      <c r="D275" s="2">
        <v>50.4</v>
      </c>
      <c r="E275" s="2">
        <v>15.7</v>
      </c>
      <c r="F275" s="2">
        <v>222</v>
      </c>
      <c r="G275" s="2">
        <v>5750</v>
      </c>
      <c r="H275" s="1" t="s">
        <v>11</v>
      </c>
      <c r="I275">
        <v>2009</v>
      </c>
      <c r="J275" s="1">
        <f>penglings[[#This Row],[bill_length_mm]]/2</f>
        <v>25.2</v>
      </c>
    </row>
    <row r="276" spans="1:10" x14ac:dyDescent="0.3">
      <c r="A276">
        <v>275</v>
      </c>
      <c r="B276" s="1" t="s">
        <v>16</v>
      </c>
      <c r="C276" s="1" t="s">
        <v>14</v>
      </c>
      <c r="D276" s="2">
        <v>45.2</v>
      </c>
      <c r="E276" s="2">
        <v>14.8</v>
      </c>
      <c r="F276" s="2">
        <v>212</v>
      </c>
      <c r="G276" s="2">
        <v>5200</v>
      </c>
      <c r="H276" s="1" t="s">
        <v>12</v>
      </c>
      <c r="I276">
        <v>2009</v>
      </c>
      <c r="J276" s="1">
        <f>penglings[[#This Row],[bill_length_mm]]/2</f>
        <v>22.6</v>
      </c>
    </row>
    <row r="277" spans="1:10" x14ac:dyDescent="0.3">
      <c r="A277">
        <v>276</v>
      </c>
      <c r="B277" s="1" t="s">
        <v>16</v>
      </c>
      <c r="C277" s="1" t="s">
        <v>14</v>
      </c>
      <c r="D277" s="2">
        <v>49.9</v>
      </c>
      <c r="E277" s="2">
        <v>16.100000000000001</v>
      </c>
      <c r="F277" s="2">
        <v>213</v>
      </c>
      <c r="G277" s="2">
        <v>5400</v>
      </c>
      <c r="H277" s="1" t="s">
        <v>11</v>
      </c>
      <c r="I277">
        <v>2009</v>
      </c>
      <c r="J277" s="1">
        <f>penglings[[#This Row],[bill_length_mm]]/2</f>
        <v>24.95</v>
      </c>
    </row>
    <row r="278" spans="1:10" x14ac:dyDescent="0.3">
      <c r="A278">
        <v>277</v>
      </c>
      <c r="B278" s="1" t="s">
        <v>17</v>
      </c>
      <c r="C278" s="1" t="s">
        <v>15</v>
      </c>
      <c r="D278" s="2">
        <v>46.5</v>
      </c>
      <c r="E278" s="2">
        <v>17.899999999999999</v>
      </c>
      <c r="F278" s="2">
        <v>192</v>
      </c>
      <c r="G278" s="2">
        <v>3500</v>
      </c>
      <c r="H278" s="1" t="s">
        <v>12</v>
      </c>
      <c r="I278">
        <v>2007</v>
      </c>
      <c r="J278" s="1">
        <f>penglings[[#This Row],[bill_length_mm]]/2</f>
        <v>23.25</v>
      </c>
    </row>
    <row r="279" spans="1:10" x14ac:dyDescent="0.3">
      <c r="A279">
        <v>278</v>
      </c>
      <c r="B279" s="1" t="s">
        <v>17</v>
      </c>
      <c r="C279" s="1" t="s">
        <v>15</v>
      </c>
      <c r="D279" s="2">
        <v>50</v>
      </c>
      <c r="E279" s="2">
        <v>19.5</v>
      </c>
      <c r="F279" s="2">
        <v>196</v>
      </c>
      <c r="G279" s="2">
        <v>3900</v>
      </c>
      <c r="H279" s="1" t="s">
        <v>11</v>
      </c>
      <c r="I279">
        <v>2007</v>
      </c>
      <c r="J279" s="1">
        <f>penglings[[#This Row],[bill_length_mm]]/2</f>
        <v>25</v>
      </c>
    </row>
    <row r="280" spans="1:10" x14ac:dyDescent="0.3">
      <c r="A280">
        <v>279</v>
      </c>
      <c r="B280" s="1" t="s">
        <v>17</v>
      </c>
      <c r="C280" s="1" t="s">
        <v>15</v>
      </c>
      <c r="D280" s="2">
        <v>51.3</v>
      </c>
      <c r="E280" s="2">
        <v>19.2</v>
      </c>
      <c r="F280" s="2">
        <v>193</v>
      </c>
      <c r="G280" s="2">
        <v>3650</v>
      </c>
      <c r="H280" s="1" t="s">
        <v>11</v>
      </c>
      <c r="I280">
        <v>2007</v>
      </c>
      <c r="J280" s="1">
        <f>penglings[[#This Row],[bill_length_mm]]/2</f>
        <v>25.65</v>
      </c>
    </row>
    <row r="281" spans="1:10" x14ac:dyDescent="0.3">
      <c r="A281">
        <v>280</v>
      </c>
      <c r="B281" s="1" t="s">
        <v>17</v>
      </c>
      <c r="C281" s="1" t="s">
        <v>15</v>
      </c>
      <c r="D281" s="2">
        <v>45.4</v>
      </c>
      <c r="E281" s="2">
        <v>18.7</v>
      </c>
      <c r="F281" s="2">
        <v>188</v>
      </c>
      <c r="G281" s="2">
        <v>3525</v>
      </c>
      <c r="H281" s="1" t="s">
        <v>12</v>
      </c>
      <c r="I281">
        <v>2007</v>
      </c>
      <c r="J281" s="1">
        <f>penglings[[#This Row],[bill_length_mm]]/2</f>
        <v>22.7</v>
      </c>
    </row>
    <row r="282" spans="1:10" x14ac:dyDescent="0.3">
      <c r="A282">
        <v>281</v>
      </c>
      <c r="B282" s="1" t="s">
        <v>17</v>
      </c>
      <c r="C282" s="1" t="s">
        <v>15</v>
      </c>
      <c r="D282" s="2">
        <v>52.7</v>
      </c>
      <c r="E282" s="2">
        <v>19.8</v>
      </c>
      <c r="F282" s="2">
        <v>197</v>
      </c>
      <c r="G282" s="2">
        <v>3725</v>
      </c>
      <c r="H282" s="1" t="s">
        <v>11</v>
      </c>
      <c r="I282">
        <v>2007</v>
      </c>
      <c r="J282" s="1">
        <f>penglings[[#This Row],[bill_length_mm]]/2</f>
        <v>26.35</v>
      </c>
    </row>
    <row r="283" spans="1:10" x14ac:dyDescent="0.3">
      <c r="A283">
        <v>282</v>
      </c>
      <c r="B283" s="1" t="s">
        <v>17</v>
      </c>
      <c r="C283" s="1" t="s">
        <v>15</v>
      </c>
      <c r="D283" s="2">
        <v>45.2</v>
      </c>
      <c r="E283" s="2">
        <v>17.8</v>
      </c>
      <c r="F283" s="2">
        <v>198</v>
      </c>
      <c r="G283" s="2">
        <v>3950</v>
      </c>
      <c r="H283" s="1" t="s">
        <v>12</v>
      </c>
      <c r="I283">
        <v>2007</v>
      </c>
      <c r="J283" s="1">
        <f>penglings[[#This Row],[bill_length_mm]]/2</f>
        <v>22.6</v>
      </c>
    </row>
    <row r="284" spans="1:10" x14ac:dyDescent="0.3">
      <c r="A284">
        <v>283</v>
      </c>
      <c r="B284" s="1" t="s">
        <v>17</v>
      </c>
      <c r="C284" s="1" t="s">
        <v>15</v>
      </c>
      <c r="D284" s="2">
        <v>46.1</v>
      </c>
      <c r="E284" s="2">
        <v>18.2</v>
      </c>
      <c r="F284" s="2">
        <v>178</v>
      </c>
      <c r="G284" s="2">
        <v>3250</v>
      </c>
      <c r="H284" s="1" t="s">
        <v>12</v>
      </c>
      <c r="I284">
        <v>2007</v>
      </c>
      <c r="J284" s="1">
        <f>penglings[[#This Row],[bill_length_mm]]/2</f>
        <v>23.05</v>
      </c>
    </row>
    <row r="285" spans="1:10" x14ac:dyDescent="0.3">
      <c r="A285">
        <v>284</v>
      </c>
      <c r="B285" s="1" t="s">
        <v>17</v>
      </c>
      <c r="C285" s="1" t="s">
        <v>15</v>
      </c>
      <c r="D285" s="2">
        <v>51.3</v>
      </c>
      <c r="E285" s="2">
        <v>18.2</v>
      </c>
      <c r="F285" s="2">
        <v>197</v>
      </c>
      <c r="G285" s="2">
        <v>3750</v>
      </c>
      <c r="H285" s="1" t="s">
        <v>11</v>
      </c>
      <c r="I285">
        <v>2007</v>
      </c>
      <c r="J285" s="1">
        <f>penglings[[#This Row],[bill_length_mm]]/2</f>
        <v>25.65</v>
      </c>
    </row>
    <row r="286" spans="1:10" x14ac:dyDescent="0.3">
      <c r="A286">
        <v>285</v>
      </c>
      <c r="B286" s="1" t="s">
        <v>17</v>
      </c>
      <c r="C286" s="1" t="s">
        <v>15</v>
      </c>
      <c r="D286" s="2">
        <v>46</v>
      </c>
      <c r="E286" s="2">
        <v>18.899999999999999</v>
      </c>
      <c r="F286" s="2">
        <v>195</v>
      </c>
      <c r="G286" s="2">
        <v>4150</v>
      </c>
      <c r="H286" s="1" t="s">
        <v>12</v>
      </c>
      <c r="I286">
        <v>2007</v>
      </c>
      <c r="J286" s="1">
        <f>penglings[[#This Row],[bill_length_mm]]/2</f>
        <v>23</v>
      </c>
    </row>
    <row r="287" spans="1:10" x14ac:dyDescent="0.3">
      <c r="A287">
        <v>286</v>
      </c>
      <c r="B287" s="1" t="s">
        <v>17</v>
      </c>
      <c r="C287" s="1" t="s">
        <v>15</v>
      </c>
      <c r="D287" s="2">
        <v>51.3</v>
      </c>
      <c r="E287" s="2">
        <v>19.899999999999999</v>
      </c>
      <c r="F287" s="2">
        <v>198</v>
      </c>
      <c r="G287" s="2">
        <v>3700</v>
      </c>
      <c r="H287" s="1" t="s">
        <v>11</v>
      </c>
      <c r="I287">
        <v>2007</v>
      </c>
      <c r="J287" s="1">
        <f>penglings[[#This Row],[bill_length_mm]]/2</f>
        <v>25.65</v>
      </c>
    </row>
    <row r="288" spans="1:10" x14ac:dyDescent="0.3">
      <c r="A288">
        <v>287</v>
      </c>
      <c r="B288" s="1" t="s">
        <v>17</v>
      </c>
      <c r="C288" s="1" t="s">
        <v>15</v>
      </c>
      <c r="D288" s="2">
        <v>46.6</v>
      </c>
      <c r="E288" s="2">
        <v>17.8</v>
      </c>
      <c r="F288" s="2">
        <v>193</v>
      </c>
      <c r="G288" s="2">
        <v>3800</v>
      </c>
      <c r="H288" s="1" t="s">
        <v>12</v>
      </c>
      <c r="I288">
        <v>2007</v>
      </c>
      <c r="J288" s="1">
        <f>penglings[[#This Row],[bill_length_mm]]/2</f>
        <v>23.3</v>
      </c>
    </row>
    <row r="289" spans="1:10" x14ac:dyDescent="0.3">
      <c r="A289">
        <v>288</v>
      </c>
      <c r="B289" s="1" t="s">
        <v>17</v>
      </c>
      <c r="C289" s="1" t="s">
        <v>15</v>
      </c>
      <c r="D289" s="2">
        <v>51.7</v>
      </c>
      <c r="E289" s="2">
        <v>20.3</v>
      </c>
      <c r="F289" s="2">
        <v>194</v>
      </c>
      <c r="G289" s="2">
        <v>3775</v>
      </c>
      <c r="H289" s="1" t="s">
        <v>11</v>
      </c>
      <c r="I289">
        <v>2007</v>
      </c>
      <c r="J289" s="1">
        <f>penglings[[#This Row],[bill_length_mm]]/2</f>
        <v>25.85</v>
      </c>
    </row>
    <row r="290" spans="1:10" x14ac:dyDescent="0.3">
      <c r="A290">
        <v>289</v>
      </c>
      <c r="B290" s="1" t="s">
        <v>17</v>
      </c>
      <c r="C290" s="1" t="s">
        <v>15</v>
      </c>
      <c r="D290" s="2">
        <v>47</v>
      </c>
      <c r="E290" s="2">
        <v>17.3</v>
      </c>
      <c r="F290" s="2">
        <v>185</v>
      </c>
      <c r="G290" s="2">
        <v>3700</v>
      </c>
      <c r="H290" s="1" t="s">
        <v>12</v>
      </c>
      <c r="I290">
        <v>2007</v>
      </c>
      <c r="J290" s="1">
        <f>penglings[[#This Row],[bill_length_mm]]/2</f>
        <v>23.5</v>
      </c>
    </row>
    <row r="291" spans="1:10" x14ac:dyDescent="0.3">
      <c r="A291">
        <v>290</v>
      </c>
      <c r="B291" s="1" t="s">
        <v>17</v>
      </c>
      <c r="C291" s="1" t="s">
        <v>15</v>
      </c>
      <c r="D291" s="2">
        <v>52</v>
      </c>
      <c r="E291" s="2">
        <v>18.100000000000001</v>
      </c>
      <c r="F291" s="2">
        <v>201</v>
      </c>
      <c r="G291" s="2">
        <v>4050</v>
      </c>
      <c r="H291" s="1" t="s">
        <v>11</v>
      </c>
      <c r="I291">
        <v>2007</v>
      </c>
      <c r="J291" s="1">
        <f>penglings[[#This Row],[bill_length_mm]]/2</f>
        <v>26</v>
      </c>
    </row>
    <row r="292" spans="1:10" x14ac:dyDescent="0.3">
      <c r="A292">
        <v>291</v>
      </c>
      <c r="B292" s="1" t="s">
        <v>17</v>
      </c>
      <c r="C292" s="1" t="s">
        <v>15</v>
      </c>
      <c r="D292" s="2">
        <v>45.9</v>
      </c>
      <c r="E292" s="2">
        <v>17.100000000000001</v>
      </c>
      <c r="F292" s="2">
        <v>190</v>
      </c>
      <c r="G292" s="2">
        <v>3575</v>
      </c>
      <c r="H292" s="1" t="s">
        <v>12</v>
      </c>
      <c r="I292">
        <v>2007</v>
      </c>
      <c r="J292" s="1">
        <f>penglings[[#This Row],[bill_length_mm]]/2</f>
        <v>22.95</v>
      </c>
    </row>
    <row r="293" spans="1:10" x14ac:dyDescent="0.3">
      <c r="A293">
        <v>292</v>
      </c>
      <c r="B293" s="1" t="s">
        <v>17</v>
      </c>
      <c r="C293" s="1" t="s">
        <v>15</v>
      </c>
      <c r="D293" s="2">
        <v>50.5</v>
      </c>
      <c r="E293" s="2">
        <v>19.600000000000001</v>
      </c>
      <c r="F293" s="2">
        <v>201</v>
      </c>
      <c r="G293" s="2">
        <v>4050</v>
      </c>
      <c r="H293" s="1" t="s">
        <v>11</v>
      </c>
      <c r="I293">
        <v>2007</v>
      </c>
      <c r="J293" s="1">
        <f>penglings[[#This Row],[bill_length_mm]]/2</f>
        <v>25.25</v>
      </c>
    </row>
    <row r="294" spans="1:10" x14ac:dyDescent="0.3">
      <c r="A294">
        <v>293</v>
      </c>
      <c r="B294" s="1" t="s">
        <v>17</v>
      </c>
      <c r="C294" s="1" t="s">
        <v>15</v>
      </c>
      <c r="D294" s="2">
        <v>50.3</v>
      </c>
      <c r="E294" s="2">
        <v>20</v>
      </c>
      <c r="F294" s="2">
        <v>197</v>
      </c>
      <c r="G294" s="2">
        <v>3300</v>
      </c>
      <c r="H294" s="1" t="s">
        <v>11</v>
      </c>
      <c r="I294">
        <v>2007</v>
      </c>
      <c r="J294" s="1">
        <f>penglings[[#This Row],[bill_length_mm]]/2</f>
        <v>25.15</v>
      </c>
    </row>
    <row r="295" spans="1:10" x14ac:dyDescent="0.3">
      <c r="A295">
        <v>294</v>
      </c>
      <c r="B295" s="1" t="s">
        <v>17</v>
      </c>
      <c r="C295" s="1" t="s">
        <v>15</v>
      </c>
      <c r="D295" s="2">
        <v>58</v>
      </c>
      <c r="E295" s="2">
        <v>17.8</v>
      </c>
      <c r="F295" s="2">
        <v>181</v>
      </c>
      <c r="G295" s="2">
        <v>3700</v>
      </c>
      <c r="H295" s="1" t="s">
        <v>12</v>
      </c>
      <c r="I295">
        <v>2007</v>
      </c>
      <c r="J295" s="1">
        <f>penglings[[#This Row],[bill_length_mm]]/2</f>
        <v>29</v>
      </c>
    </row>
    <row r="296" spans="1:10" x14ac:dyDescent="0.3">
      <c r="A296">
        <v>295</v>
      </c>
      <c r="B296" s="1" t="s">
        <v>17</v>
      </c>
      <c r="C296" s="1" t="s">
        <v>15</v>
      </c>
      <c r="D296" s="2">
        <v>46.4</v>
      </c>
      <c r="E296" s="2">
        <v>18.600000000000001</v>
      </c>
      <c r="F296" s="2">
        <v>190</v>
      </c>
      <c r="G296" s="2">
        <v>3450</v>
      </c>
      <c r="H296" s="1" t="s">
        <v>12</v>
      </c>
      <c r="I296">
        <v>2007</v>
      </c>
      <c r="J296" s="1">
        <f>penglings[[#This Row],[bill_length_mm]]/2</f>
        <v>23.2</v>
      </c>
    </row>
    <row r="297" spans="1:10" x14ac:dyDescent="0.3">
      <c r="A297">
        <v>296</v>
      </c>
      <c r="B297" s="1" t="s">
        <v>17</v>
      </c>
      <c r="C297" s="1" t="s">
        <v>15</v>
      </c>
      <c r="D297" s="2">
        <v>49.2</v>
      </c>
      <c r="E297" s="2">
        <v>18.2</v>
      </c>
      <c r="F297" s="2">
        <v>195</v>
      </c>
      <c r="G297" s="2">
        <v>4400</v>
      </c>
      <c r="H297" s="1" t="s">
        <v>11</v>
      </c>
      <c r="I297">
        <v>2007</v>
      </c>
      <c r="J297" s="1">
        <f>penglings[[#This Row],[bill_length_mm]]/2</f>
        <v>24.6</v>
      </c>
    </row>
    <row r="298" spans="1:10" x14ac:dyDescent="0.3">
      <c r="A298">
        <v>297</v>
      </c>
      <c r="B298" s="1" t="s">
        <v>17</v>
      </c>
      <c r="C298" s="1" t="s">
        <v>15</v>
      </c>
      <c r="D298" s="2">
        <v>42.4</v>
      </c>
      <c r="E298" s="2">
        <v>17.3</v>
      </c>
      <c r="F298" s="2">
        <v>181</v>
      </c>
      <c r="G298" s="2">
        <v>3600</v>
      </c>
      <c r="H298" s="1" t="s">
        <v>12</v>
      </c>
      <c r="I298">
        <v>2007</v>
      </c>
      <c r="J298" s="1">
        <f>penglings[[#This Row],[bill_length_mm]]/2</f>
        <v>21.2</v>
      </c>
    </row>
    <row r="299" spans="1:10" x14ac:dyDescent="0.3">
      <c r="A299">
        <v>298</v>
      </c>
      <c r="B299" s="1" t="s">
        <v>17</v>
      </c>
      <c r="C299" s="1" t="s">
        <v>15</v>
      </c>
      <c r="D299" s="2">
        <v>48.5</v>
      </c>
      <c r="E299" s="2">
        <v>17.5</v>
      </c>
      <c r="F299" s="2">
        <v>191</v>
      </c>
      <c r="G299" s="2">
        <v>3400</v>
      </c>
      <c r="H299" s="1" t="s">
        <v>11</v>
      </c>
      <c r="I299">
        <v>2007</v>
      </c>
      <c r="J299" s="1">
        <f>penglings[[#This Row],[bill_length_mm]]/2</f>
        <v>24.25</v>
      </c>
    </row>
    <row r="300" spans="1:10" x14ac:dyDescent="0.3">
      <c r="A300">
        <v>299</v>
      </c>
      <c r="B300" s="1" t="s">
        <v>17</v>
      </c>
      <c r="C300" s="1" t="s">
        <v>15</v>
      </c>
      <c r="D300" s="2">
        <v>43.2</v>
      </c>
      <c r="E300" s="2">
        <v>16.600000000000001</v>
      </c>
      <c r="F300" s="2">
        <v>187</v>
      </c>
      <c r="G300" s="2">
        <v>2900</v>
      </c>
      <c r="H300" s="1" t="s">
        <v>12</v>
      </c>
      <c r="I300">
        <v>2007</v>
      </c>
      <c r="J300" s="1">
        <f>penglings[[#This Row],[bill_length_mm]]/2</f>
        <v>21.6</v>
      </c>
    </row>
    <row r="301" spans="1:10" x14ac:dyDescent="0.3">
      <c r="A301">
        <v>300</v>
      </c>
      <c r="B301" s="1" t="s">
        <v>17</v>
      </c>
      <c r="C301" s="1" t="s">
        <v>15</v>
      </c>
      <c r="D301" s="2">
        <v>50.6</v>
      </c>
      <c r="E301" s="2">
        <v>19.399999999999999</v>
      </c>
      <c r="F301" s="2">
        <v>193</v>
      </c>
      <c r="G301" s="2">
        <v>3800</v>
      </c>
      <c r="H301" s="1" t="s">
        <v>11</v>
      </c>
      <c r="I301">
        <v>2007</v>
      </c>
      <c r="J301" s="1">
        <f>penglings[[#This Row],[bill_length_mm]]/2</f>
        <v>25.3</v>
      </c>
    </row>
    <row r="302" spans="1:10" x14ac:dyDescent="0.3">
      <c r="A302">
        <v>301</v>
      </c>
      <c r="B302" s="1" t="s">
        <v>17</v>
      </c>
      <c r="C302" s="1" t="s">
        <v>15</v>
      </c>
      <c r="D302" s="2">
        <v>46.7</v>
      </c>
      <c r="E302" s="2">
        <v>17.899999999999999</v>
      </c>
      <c r="F302" s="2">
        <v>195</v>
      </c>
      <c r="G302" s="2">
        <v>3300</v>
      </c>
      <c r="H302" s="1" t="s">
        <v>12</v>
      </c>
      <c r="I302">
        <v>2007</v>
      </c>
      <c r="J302" s="1">
        <f>penglings[[#This Row],[bill_length_mm]]/2</f>
        <v>23.35</v>
      </c>
    </row>
    <row r="303" spans="1:10" x14ac:dyDescent="0.3">
      <c r="A303">
        <v>302</v>
      </c>
      <c r="B303" s="1" t="s">
        <v>17</v>
      </c>
      <c r="C303" s="1" t="s">
        <v>15</v>
      </c>
      <c r="D303" s="2">
        <v>52</v>
      </c>
      <c r="E303" s="2">
        <v>19</v>
      </c>
      <c r="F303" s="2">
        <v>197</v>
      </c>
      <c r="G303" s="2">
        <v>4150</v>
      </c>
      <c r="H303" s="1" t="s">
        <v>11</v>
      </c>
      <c r="I303">
        <v>2007</v>
      </c>
      <c r="J303" s="1">
        <f>penglings[[#This Row],[bill_length_mm]]/2</f>
        <v>26</v>
      </c>
    </row>
    <row r="304" spans="1:10" x14ac:dyDescent="0.3">
      <c r="A304">
        <v>303</v>
      </c>
      <c r="B304" s="1" t="s">
        <v>17</v>
      </c>
      <c r="C304" s="1" t="s">
        <v>15</v>
      </c>
      <c r="D304" s="2">
        <v>50.5</v>
      </c>
      <c r="E304" s="2">
        <v>18.399999999999999</v>
      </c>
      <c r="F304" s="2">
        <v>200</v>
      </c>
      <c r="G304" s="2">
        <v>3400</v>
      </c>
      <c r="H304" s="1" t="s">
        <v>12</v>
      </c>
      <c r="I304">
        <v>2008</v>
      </c>
      <c r="J304" s="1">
        <f>penglings[[#This Row],[bill_length_mm]]/2</f>
        <v>25.25</v>
      </c>
    </row>
    <row r="305" spans="1:10" x14ac:dyDescent="0.3">
      <c r="A305">
        <v>304</v>
      </c>
      <c r="B305" s="1" t="s">
        <v>17</v>
      </c>
      <c r="C305" s="1" t="s">
        <v>15</v>
      </c>
      <c r="D305" s="2">
        <v>49.5</v>
      </c>
      <c r="E305" s="2">
        <v>19</v>
      </c>
      <c r="F305" s="2">
        <v>200</v>
      </c>
      <c r="G305" s="2">
        <v>3800</v>
      </c>
      <c r="H305" s="1" t="s">
        <v>11</v>
      </c>
      <c r="I305">
        <v>2008</v>
      </c>
      <c r="J305" s="1">
        <f>penglings[[#This Row],[bill_length_mm]]/2</f>
        <v>24.75</v>
      </c>
    </row>
    <row r="306" spans="1:10" x14ac:dyDescent="0.3">
      <c r="A306">
        <v>305</v>
      </c>
      <c r="B306" s="1" t="s">
        <v>17</v>
      </c>
      <c r="C306" s="1" t="s">
        <v>15</v>
      </c>
      <c r="D306" s="2">
        <v>46.4</v>
      </c>
      <c r="E306" s="2">
        <v>17.8</v>
      </c>
      <c r="F306" s="2">
        <v>191</v>
      </c>
      <c r="G306" s="2">
        <v>3700</v>
      </c>
      <c r="H306" s="1" t="s">
        <v>12</v>
      </c>
      <c r="I306">
        <v>2008</v>
      </c>
      <c r="J306" s="1">
        <f>penglings[[#This Row],[bill_length_mm]]/2</f>
        <v>23.2</v>
      </c>
    </row>
    <row r="307" spans="1:10" x14ac:dyDescent="0.3">
      <c r="A307">
        <v>306</v>
      </c>
      <c r="B307" s="1" t="s">
        <v>17</v>
      </c>
      <c r="C307" s="1" t="s">
        <v>15</v>
      </c>
      <c r="D307" s="2">
        <v>52.8</v>
      </c>
      <c r="E307" s="2">
        <v>20</v>
      </c>
      <c r="F307" s="2">
        <v>205</v>
      </c>
      <c r="G307" s="2">
        <v>4550</v>
      </c>
      <c r="H307" s="1" t="s">
        <v>11</v>
      </c>
      <c r="I307">
        <v>2008</v>
      </c>
      <c r="J307" s="1">
        <f>penglings[[#This Row],[bill_length_mm]]/2</f>
        <v>26.4</v>
      </c>
    </row>
    <row r="308" spans="1:10" x14ac:dyDescent="0.3">
      <c r="A308">
        <v>307</v>
      </c>
      <c r="B308" s="1" t="s">
        <v>17</v>
      </c>
      <c r="C308" s="1" t="s">
        <v>15</v>
      </c>
      <c r="D308" s="2">
        <v>40.9</v>
      </c>
      <c r="E308" s="2">
        <v>16.600000000000001</v>
      </c>
      <c r="F308" s="2">
        <v>187</v>
      </c>
      <c r="G308" s="2">
        <v>3200</v>
      </c>
      <c r="H308" s="1" t="s">
        <v>12</v>
      </c>
      <c r="I308">
        <v>2008</v>
      </c>
      <c r="J308" s="1">
        <f>penglings[[#This Row],[bill_length_mm]]/2</f>
        <v>20.45</v>
      </c>
    </row>
    <row r="309" spans="1:10" x14ac:dyDescent="0.3">
      <c r="A309">
        <v>308</v>
      </c>
      <c r="B309" s="1" t="s">
        <v>17</v>
      </c>
      <c r="C309" s="1" t="s">
        <v>15</v>
      </c>
      <c r="D309" s="2">
        <v>54.2</v>
      </c>
      <c r="E309" s="2">
        <v>20.8</v>
      </c>
      <c r="F309" s="2">
        <v>201</v>
      </c>
      <c r="G309" s="2">
        <v>4300</v>
      </c>
      <c r="H309" s="1" t="s">
        <v>11</v>
      </c>
      <c r="I309">
        <v>2008</v>
      </c>
      <c r="J309" s="1">
        <f>penglings[[#This Row],[bill_length_mm]]/2</f>
        <v>27.1</v>
      </c>
    </row>
    <row r="310" spans="1:10" x14ac:dyDescent="0.3">
      <c r="A310">
        <v>309</v>
      </c>
      <c r="B310" s="1" t="s">
        <v>17</v>
      </c>
      <c r="C310" s="1" t="s">
        <v>15</v>
      </c>
      <c r="D310" s="2">
        <v>42.5</v>
      </c>
      <c r="E310" s="2">
        <v>16.7</v>
      </c>
      <c r="F310" s="2">
        <v>187</v>
      </c>
      <c r="G310" s="2">
        <v>3350</v>
      </c>
      <c r="H310" s="1" t="s">
        <v>12</v>
      </c>
      <c r="I310">
        <v>2008</v>
      </c>
      <c r="J310" s="1">
        <f>penglings[[#This Row],[bill_length_mm]]/2</f>
        <v>21.25</v>
      </c>
    </row>
    <row r="311" spans="1:10" x14ac:dyDescent="0.3">
      <c r="A311">
        <v>310</v>
      </c>
      <c r="B311" s="1" t="s">
        <v>17</v>
      </c>
      <c r="C311" s="1" t="s">
        <v>15</v>
      </c>
      <c r="D311" s="2">
        <v>51</v>
      </c>
      <c r="E311" s="2">
        <v>18.8</v>
      </c>
      <c r="F311" s="2">
        <v>203</v>
      </c>
      <c r="G311" s="2">
        <v>4100</v>
      </c>
      <c r="H311" s="1" t="s">
        <v>11</v>
      </c>
      <c r="I311">
        <v>2008</v>
      </c>
      <c r="J311" s="1">
        <f>penglings[[#This Row],[bill_length_mm]]/2</f>
        <v>25.5</v>
      </c>
    </row>
    <row r="312" spans="1:10" x14ac:dyDescent="0.3">
      <c r="A312">
        <v>311</v>
      </c>
      <c r="B312" s="1" t="s">
        <v>17</v>
      </c>
      <c r="C312" s="1" t="s">
        <v>15</v>
      </c>
      <c r="D312" s="2">
        <v>49.7</v>
      </c>
      <c r="E312" s="2">
        <v>18.600000000000001</v>
      </c>
      <c r="F312" s="2">
        <v>195</v>
      </c>
      <c r="G312" s="2">
        <v>3600</v>
      </c>
      <c r="H312" s="1" t="s">
        <v>11</v>
      </c>
      <c r="I312">
        <v>2008</v>
      </c>
      <c r="J312" s="1">
        <f>penglings[[#This Row],[bill_length_mm]]/2</f>
        <v>24.85</v>
      </c>
    </row>
    <row r="313" spans="1:10" x14ac:dyDescent="0.3">
      <c r="A313">
        <v>312</v>
      </c>
      <c r="B313" s="1" t="s">
        <v>17</v>
      </c>
      <c r="C313" s="1" t="s">
        <v>15</v>
      </c>
      <c r="D313" s="2">
        <v>47.5</v>
      </c>
      <c r="E313" s="2">
        <v>16.8</v>
      </c>
      <c r="F313" s="2">
        <v>199</v>
      </c>
      <c r="G313" s="2">
        <v>3900</v>
      </c>
      <c r="H313" s="1" t="s">
        <v>12</v>
      </c>
      <c r="I313">
        <v>2008</v>
      </c>
      <c r="J313" s="1">
        <f>penglings[[#This Row],[bill_length_mm]]/2</f>
        <v>23.75</v>
      </c>
    </row>
    <row r="314" spans="1:10" x14ac:dyDescent="0.3">
      <c r="A314">
        <v>313</v>
      </c>
      <c r="B314" s="1" t="s">
        <v>17</v>
      </c>
      <c r="C314" s="1" t="s">
        <v>15</v>
      </c>
      <c r="D314" s="2">
        <v>47.6</v>
      </c>
      <c r="E314" s="2">
        <v>18.3</v>
      </c>
      <c r="F314" s="2">
        <v>195</v>
      </c>
      <c r="G314" s="2">
        <v>3850</v>
      </c>
      <c r="H314" s="1" t="s">
        <v>12</v>
      </c>
      <c r="I314">
        <v>2008</v>
      </c>
      <c r="J314" s="1">
        <f>penglings[[#This Row],[bill_length_mm]]/2</f>
        <v>23.8</v>
      </c>
    </row>
    <row r="315" spans="1:10" x14ac:dyDescent="0.3">
      <c r="A315">
        <v>314</v>
      </c>
      <c r="B315" s="1" t="s">
        <v>17</v>
      </c>
      <c r="C315" s="1" t="s">
        <v>15</v>
      </c>
      <c r="D315" s="2">
        <v>52</v>
      </c>
      <c r="E315" s="2">
        <v>20.7</v>
      </c>
      <c r="F315" s="2">
        <v>210</v>
      </c>
      <c r="G315" s="2">
        <v>4800</v>
      </c>
      <c r="H315" s="1" t="s">
        <v>11</v>
      </c>
      <c r="I315">
        <v>2008</v>
      </c>
      <c r="J315" s="1">
        <f>penglings[[#This Row],[bill_length_mm]]/2</f>
        <v>26</v>
      </c>
    </row>
    <row r="316" spans="1:10" x14ac:dyDescent="0.3">
      <c r="A316">
        <v>315</v>
      </c>
      <c r="B316" s="1" t="s">
        <v>17</v>
      </c>
      <c r="C316" s="1" t="s">
        <v>15</v>
      </c>
      <c r="D316" s="2">
        <v>46.9</v>
      </c>
      <c r="E316" s="2">
        <v>16.600000000000001</v>
      </c>
      <c r="F316" s="2">
        <v>192</v>
      </c>
      <c r="G316" s="2">
        <v>2700</v>
      </c>
      <c r="H316" s="1" t="s">
        <v>12</v>
      </c>
      <c r="I316">
        <v>2008</v>
      </c>
      <c r="J316" s="1">
        <f>penglings[[#This Row],[bill_length_mm]]/2</f>
        <v>23.45</v>
      </c>
    </row>
    <row r="317" spans="1:10" x14ac:dyDescent="0.3">
      <c r="A317">
        <v>316</v>
      </c>
      <c r="B317" s="1" t="s">
        <v>17</v>
      </c>
      <c r="C317" s="1" t="s">
        <v>15</v>
      </c>
      <c r="D317" s="2">
        <v>53.5</v>
      </c>
      <c r="E317" s="2">
        <v>19.899999999999999</v>
      </c>
      <c r="F317" s="2">
        <v>205</v>
      </c>
      <c r="G317" s="2">
        <v>4500</v>
      </c>
      <c r="H317" s="1" t="s">
        <v>11</v>
      </c>
      <c r="I317">
        <v>2008</v>
      </c>
      <c r="J317" s="1">
        <f>penglings[[#This Row],[bill_length_mm]]/2</f>
        <v>26.75</v>
      </c>
    </row>
    <row r="318" spans="1:10" x14ac:dyDescent="0.3">
      <c r="A318">
        <v>317</v>
      </c>
      <c r="B318" s="1" t="s">
        <v>17</v>
      </c>
      <c r="C318" s="1" t="s">
        <v>15</v>
      </c>
      <c r="D318" s="2">
        <v>49</v>
      </c>
      <c r="E318" s="2">
        <v>19.5</v>
      </c>
      <c r="F318" s="2">
        <v>210</v>
      </c>
      <c r="G318" s="2">
        <v>3950</v>
      </c>
      <c r="H318" s="1" t="s">
        <v>11</v>
      </c>
      <c r="I318">
        <v>2008</v>
      </c>
      <c r="J318" s="1">
        <f>penglings[[#This Row],[bill_length_mm]]/2</f>
        <v>24.5</v>
      </c>
    </row>
    <row r="319" spans="1:10" x14ac:dyDescent="0.3">
      <c r="A319">
        <v>318</v>
      </c>
      <c r="B319" s="1" t="s">
        <v>17</v>
      </c>
      <c r="C319" s="1" t="s">
        <v>15</v>
      </c>
      <c r="D319" s="2">
        <v>46.2</v>
      </c>
      <c r="E319" s="2">
        <v>17.5</v>
      </c>
      <c r="F319" s="2">
        <v>187</v>
      </c>
      <c r="G319" s="2">
        <v>3650</v>
      </c>
      <c r="H319" s="1" t="s">
        <v>12</v>
      </c>
      <c r="I319">
        <v>2008</v>
      </c>
      <c r="J319" s="1">
        <f>penglings[[#This Row],[bill_length_mm]]/2</f>
        <v>23.1</v>
      </c>
    </row>
    <row r="320" spans="1:10" x14ac:dyDescent="0.3">
      <c r="A320">
        <v>319</v>
      </c>
      <c r="B320" s="1" t="s">
        <v>17</v>
      </c>
      <c r="C320" s="1" t="s">
        <v>15</v>
      </c>
      <c r="D320" s="2">
        <v>50.9</v>
      </c>
      <c r="E320" s="2">
        <v>19.100000000000001</v>
      </c>
      <c r="F320" s="2">
        <v>196</v>
      </c>
      <c r="G320" s="2">
        <v>3550</v>
      </c>
      <c r="H320" s="1" t="s">
        <v>11</v>
      </c>
      <c r="I320">
        <v>2008</v>
      </c>
      <c r="J320" s="1">
        <f>penglings[[#This Row],[bill_length_mm]]/2</f>
        <v>25.45</v>
      </c>
    </row>
    <row r="321" spans="1:10" x14ac:dyDescent="0.3">
      <c r="A321">
        <v>320</v>
      </c>
      <c r="B321" s="1" t="s">
        <v>17</v>
      </c>
      <c r="C321" s="1" t="s">
        <v>15</v>
      </c>
      <c r="D321" s="2">
        <v>45.5</v>
      </c>
      <c r="E321" s="2">
        <v>17</v>
      </c>
      <c r="F321" s="2">
        <v>196</v>
      </c>
      <c r="G321" s="2">
        <v>3500</v>
      </c>
      <c r="H321" s="1" t="s">
        <v>12</v>
      </c>
      <c r="I321">
        <v>2008</v>
      </c>
      <c r="J321" s="1">
        <f>penglings[[#This Row],[bill_length_mm]]/2</f>
        <v>22.75</v>
      </c>
    </row>
    <row r="322" spans="1:10" x14ac:dyDescent="0.3">
      <c r="A322">
        <v>321</v>
      </c>
      <c r="B322" s="1" t="s">
        <v>17</v>
      </c>
      <c r="C322" s="1" t="s">
        <v>15</v>
      </c>
      <c r="D322" s="2">
        <v>50.9</v>
      </c>
      <c r="E322" s="2">
        <v>17.899999999999999</v>
      </c>
      <c r="F322" s="2">
        <v>196</v>
      </c>
      <c r="G322" s="2">
        <v>3675</v>
      </c>
      <c r="H322" s="1" t="s">
        <v>12</v>
      </c>
      <c r="I322">
        <v>2009</v>
      </c>
      <c r="J322" s="1">
        <f>penglings[[#This Row],[bill_length_mm]]/2</f>
        <v>25.45</v>
      </c>
    </row>
    <row r="323" spans="1:10" x14ac:dyDescent="0.3">
      <c r="A323">
        <v>322</v>
      </c>
      <c r="B323" s="1" t="s">
        <v>17</v>
      </c>
      <c r="C323" s="1" t="s">
        <v>15</v>
      </c>
      <c r="D323" s="2">
        <v>50.8</v>
      </c>
      <c r="E323" s="2">
        <v>18.5</v>
      </c>
      <c r="F323" s="2">
        <v>201</v>
      </c>
      <c r="G323" s="2">
        <v>4450</v>
      </c>
      <c r="H323" s="1" t="s">
        <v>11</v>
      </c>
      <c r="I323">
        <v>2009</v>
      </c>
      <c r="J323" s="1">
        <f>penglings[[#This Row],[bill_length_mm]]/2</f>
        <v>25.4</v>
      </c>
    </row>
    <row r="324" spans="1:10" x14ac:dyDescent="0.3">
      <c r="A324">
        <v>323</v>
      </c>
      <c r="B324" s="1" t="s">
        <v>17</v>
      </c>
      <c r="C324" s="1" t="s">
        <v>15</v>
      </c>
      <c r="D324" s="2">
        <v>50.1</v>
      </c>
      <c r="E324" s="2">
        <v>17.899999999999999</v>
      </c>
      <c r="F324" s="2">
        <v>190</v>
      </c>
      <c r="G324" s="2">
        <v>3400</v>
      </c>
      <c r="H324" s="1" t="s">
        <v>12</v>
      </c>
      <c r="I324">
        <v>2009</v>
      </c>
      <c r="J324" s="1">
        <f>penglings[[#This Row],[bill_length_mm]]/2</f>
        <v>25.05</v>
      </c>
    </row>
    <row r="325" spans="1:10" x14ac:dyDescent="0.3">
      <c r="A325">
        <v>324</v>
      </c>
      <c r="B325" s="1" t="s">
        <v>17</v>
      </c>
      <c r="C325" s="1" t="s">
        <v>15</v>
      </c>
      <c r="D325" s="2">
        <v>49</v>
      </c>
      <c r="E325" s="2">
        <v>19.600000000000001</v>
      </c>
      <c r="F325" s="2">
        <v>212</v>
      </c>
      <c r="G325" s="2">
        <v>4300</v>
      </c>
      <c r="H325" s="1" t="s">
        <v>11</v>
      </c>
      <c r="I325">
        <v>2009</v>
      </c>
      <c r="J325" s="1">
        <f>penglings[[#This Row],[bill_length_mm]]/2</f>
        <v>24.5</v>
      </c>
    </row>
    <row r="326" spans="1:10" x14ac:dyDescent="0.3">
      <c r="A326">
        <v>325</v>
      </c>
      <c r="B326" s="1" t="s">
        <v>17</v>
      </c>
      <c r="C326" s="1" t="s">
        <v>15</v>
      </c>
      <c r="D326" s="2">
        <v>51.5</v>
      </c>
      <c r="E326" s="2">
        <v>18.7</v>
      </c>
      <c r="F326" s="2">
        <v>187</v>
      </c>
      <c r="G326" s="2">
        <v>3250</v>
      </c>
      <c r="H326" s="1" t="s">
        <v>11</v>
      </c>
      <c r="I326">
        <v>2009</v>
      </c>
      <c r="J326" s="1">
        <f>penglings[[#This Row],[bill_length_mm]]/2</f>
        <v>25.75</v>
      </c>
    </row>
    <row r="327" spans="1:10" x14ac:dyDescent="0.3">
      <c r="A327">
        <v>326</v>
      </c>
      <c r="B327" s="1" t="s">
        <v>17</v>
      </c>
      <c r="C327" s="1" t="s">
        <v>15</v>
      </c>
      <c r="D327" s="2">
        <v>49.8</v>
      </c>
      <c r="E327" s="2">
        <v>17.3</v>
      </c>
      <c r="F327" s="2">
        <v>198</v>
      </c>
      <c r="G327" s="2">
        <v>3675</v>
      </c>
      <c r="H327" s="1" t="s">
        <v>12</v>
      </c>
      <c r="I327">
        <v>2009</v>
      </c>
      <c r="J327" s="1">
        <f>penglings[[#This Row],[bill_length_mm]]/2</f>
        <v>24.9</v>
      </c>
    </row>
    <row r="328" spans="1:10" x14ac:dyDescent="0.3">
      <c r="A328">
        <v>327</v>
      </c>
      <c r="B328" s="1" t="s">
        <v>17</v>
      </c>
      <c r="C328" s="1" t="s">
        <v>15</v>
      </c>
      <c r="D328" s="2">
        <v>48.1</v>
      </c>
      <c r="E328" s="2">
        <v>16.399999999999999</v>
      </c>
      <c r="F328" s="2">
        <v>199</v>
      </c>
      <c r="G328" s="2">
        <v>3325</v>
      </c>
      <c r="H328" s="1" t="s">
        <v>12</v>
      </c>
      <c r="I328">
        <v>2009</v>
      </c>
      <c r="J328" s="1">
        <f>penglings[[#This Row],[bill_length_mm]]/2</f>
        <v>24.05</v>
      </c>
    </row>
    <row r="329" spans="1:10" x14ac:dyDescent="0.3">
      <c r="A329">
        <v>328</v>
      </c>
      <c r="B329" s="1" t="s">
        <v>17</v>
      </c>
      <c r="C329" s="1" t="s">
        <v>15</v>
      </c>
      <c r="D329" s="2">
        <v>51.4</v>
      </c>
      <c r="E329" s="2">
        <v>19</v>
      </c>
      <c r="F329" s="2">
        <v>201</v>
      </c>
      <c r="G329" s="2">
        <v>3950</v>
      </c>
      <c r="H329" s="1" t="s">
        <v>11</v>
      </c>
      <c r="I329">
        <v>2009</v>
      </c>
      <c r="J329" s="1">
        <f>penglings[[#This Row],[bill_length_mm]]/2</f>
        <v>25.7</v>
      </c>
    </row>
    <row r="330" spans="1:10" x14ac:dyDescent="0.3">
      <c r="A330">
        <v>329</v>
      </c>
      <c r="B330" s="1" t="s">
        <v>17</v>
      </c>
      <c r="C330" s="1" t="s">
        <v>15</v>
      </c>
      <c r="D330" s="2">
        <v>45.7</v>
      </c>
      <c r="E330" s="2">
        <v>17.3</v>
      </c>
      <c r="F330" s="2">
        <v>193</v>
      </c>
      <c r="G330" s="2">
        <v>3600</v>
      </c>
      <c r="H330" s="1" t="s">
        <v>12</v>
      </c>
      <c r="I330">
        <v>2009</v>
      </c>
      <c r="J330" s="1">
        <f>penglings[[#This Row],[bill_length_mm]]/2</f>
        <v>22.85</v>
      </c>
    </row>
    <row r="331" spans="1:10" x14ac:dyDescent="0.3">
      <c r="A331">
        <v>330</v>
      </c>
      <c r="B331" s="1" t="s">
        <v>17</v>
      </c>
      <c r="C331" s="1" t="s">
        <v>15</v>
      </c>
      <c r="D331" s="2">
        <v>50.7</v>
      </c>
      <c r="E331" s="2">
        <v>19.7</v>
      </c>
      <c r="F331" s="2">
        <v>203</v>
      </c>
      <c r="G331" s="2">
        <v>4050</v>
      </c>
      <c r="H331" s="1" t="s">
        <v>11</v>
      </c>
      <c r="I331">
        <v>2009</v>
      </c>
      <c r="J331" s="1">
        <f>penglings[[#This Row],[bill_length_mm]]/2</f>
        <v>25.35</v>
      </c>
    </row>
    <row r="332" spans="1:10" x14ac:dyDescent="0.3">
      <c r="A332">
        <v>331</v>
      </c>
      <c r="B332" s="1" t="s">
        <v>17</v>
      </c>
      <c r="C332" s="1" t="s">
        <v>15</v>
      </c>
      <c r="D332" s="2">
        <v>42.5</v>
      </c>
      <c r="E332" s="2">
        <v>17.3</v>
      </c>
      <c r="F332" s="2">
        <v>187</v>
      </c>
      <c r="G332" s="2">
        <v>3350</v>
      </c>
      <c r="H332" s="1" t="s">
        <v>12</v>
      </c>
      <c r="I332">
        <v>2009</v>
      </c>
      <c r="J332" s="1">
        <f>penglings[[#This Row],[bill_length_mm]]/2</f>
        <v>21.25</v>
      </c>
    </row>
    <row r="333" spans="1:10" x14ac:dyDescent="0.3">
      <c r="A333">
        <v>332</v>
      </c>
      <c r="B333" s="1" t="s">
        <v>17</v>
      </c>
      <c r="C333" s="1" t="s">
        <v>15</v>
      </c>
      <c r="D333" s="2">
        <v>52.2</v>
      </c>
      <c r="E333" s="2">
        <v>18.8</v>
      </c>
      <c r="F333" s="2">
        <v>197</v>
      </c>
      <c r="G333" s="2">
        <v>3450</v>
      </c>
      <c r="H333" s="1" t="s">
        <v>11</v>
      </c>
      <c r="I333">
        <v>2009</v>
      </c>
      <c r="J333" s="1">
        <f>penglings[[#This Row],[bill_length_mm]]/2</f>
        <v>26.1</v>
      </c>
    </row>
    <row r="334" spans="1:10" x14ac:dyDescent="0.3">
      <c r="A334">
        <v>333</v>
      </c>
      <c r="B334" s="1" t="s">
        <v>17</v>
      </c>
      <c r="C334" s="1" t="s">
        <v>15</v>
      </c>
      <c r="D334" s="2">
        <v>45.2</v>
      </c>
      <c r="E334" s="2">
        <v>16.600000000000001</v>
      </c>
      <c r="F334" s="2">
        <v>191</v>
      </c>
      <c r="G334" s="2">
        <v>3250</v>
      </c>
      <c r="H334" s="1" t="s">
        <v>12</v>
      </c>
      <c r="I334">
        <v>2009</v>
      </c>
      <c r="J334" s="1">
        <f>penglings[[#This Row],[bill_length_mm]]/2</f>
        <v>22.6</v>
      </c>
    </row>
    <row r="335" spans="1:10" x14ac:dyDescent="0.3">
      <c r="A335">
        <v>334</v>
      </c>
      <c r="B335" s="1" t="s">
        <v>17</v>
      </c>
      <c r="C335" s="1" t="s">
        <v>15</v>
      </c>
      <c r="D335" s="2">
        <v>49.3</v>
      </c>
      <c r="E335" s="2">
        <v>19.899999999999999</v>
      </c>
      <c r="F335" s="2">
        <v>203</v>
      </c>
      <c r="G335" s="2">
        <v>4050</v>
      </c>
      <c r="H335" s="1" t="s">
        <v>11</v>
      </c>
      <c r="I335">
        <v>2009</v>
      </c>
      <c r="J335" s="1">
        <f>penglings[[#This Row],[bill_length_mm]]/2</f>
        <v>24.65</v>
      </c>
    </row>
    <row r="336" spans="1:10" x14ac:dyDescent="0.3">
      <c r="A336">
        <v>335</v>
      </c>
      <c r="B336" s="1" t="s">
        <v>17</v>
      </c>
      <c r="C336" s="1" t="s">
        <v>15</v>
      </c>
      <c r="D336" s="2">
        <v>50.2</v>
      </c>
      <c r="E336" s="2">
        <v>18.8</v>
      </c>
      <c r="F336" s="2">
        <v>202</v>
      </c>
      <c r="G336" s="2">
        <v>3800</v>
      </c>
      <c r="H336" s="1" t="s">
        <v>11</v>
      </c>
      <c r="I336">
        <v>2009</v>
      </c>
      <c r="J336" s="1">
        <f>penglings[[#This Row],[bill_length_mm]]/2</f>
        <v>25.1</v>
      </c>
    </row>
    <row r="337" spans="1:10" x14ac:dyDescent="0.3">
      <c r="A337">
        <v>336</v>
      </c>
      <c r="B337" s="1" t="s">
        <v>17</v>
      </c>
      <c r="C337" s="1" t="s">
        <v>15</v>
      </c>
      <c r="D337" s="2">
        <v>45.6</v>
      </c>
      <c r="E337" s="2">
        <v>19.399999999999999</v>
      </c>
      <c r="F337" s="2">
        <v>194</v>
      </c>
      <c r="G337" s="2">
        <v>3525</v>
      </c>
      <c r="H337" s="1" t="s">
        <v>12</v>
      </c>
      <c r="I337">
        <v>2009</v>
      </c>
      <c r="J337" s="1">
        <f>penglings[[#This Row],[bill_length_mm]]/2</f>
        <v>22.8</v>
      </c>
    </row>
    <row r="338" spans="1:10" x14ac:dyDescent="0.3">
      <c r="A338">
        <v>337</v>
      </c>
      <c r="B338" s="1" t="s">
        <v>17</v>
      </c>
      <c r="C338" s="1" t="s">
        <v>15</v>
      </c>
      <c r="D338" s="2">
        <v>51.9</v>
      </c>
      <c r="E338" s="2">
        <v>19.5</v>
      </c>
      <c r="F338" s="2">
        <v>206</v>
      </c>
      <c r="G338" s="2">
        <v>3950</v>
      </c>
      <c r="H338" s="1" t="s">
        <v>11</v>
      </c>
      <c r="I338">
        <v>2009</v>
      </c>
      <c r="J338" s="1">
        <f>penglings[[#This Row],[bill_length_mm]]/2</f>
        <v>25.95</v>
      </c>
    </row>
    <row r="339" spans="1:10" x14ac:dyDescent="0.3">
      <c r="A339">
        <v>338</v>
      </c>
      <c r="B339" s="1" t="s">
        <v>17</v>
      </c>
      <c r="C339" s="1" t="s">
        <v>15</v>
      </c>
      <c r="D339" s="2">
        <v>46.8</v>
      </c>
      <c r="E339" s="2">
        <v>16.5</v>
      </c>
      <c r="F339" s="2">
        <v>189</v>
      </c>
      <c r="G339" s="2">
        <v>3650</v>
      </c>
      <c r="H339" s="1" t="s">
        <v>12</v>
      </c>
      <c r="I339">
        <v>2009</v>
      </c>
      <c r="J339" s="1">
        <f>penglings[[#This Row],[bill_length_mm]]/2</f>
        <v>23.4</v>
      </c>
    </row>
    <row r="340" spans="1:10" x14ac:dyDescent="0.3">
      <c r="A340">
        <v>339</v>
      </c>
      <c r="B340" s="1" t="s">
        <v>17</v>
      </c>
      <c r="C340" s="1" t="s">
        <v>15</v>
      </c>
      <c r="D340" s="2">
        <v>45.7</v>
      </c>
      <c r="E340" s="2">
        <v>17</v>
      </c>
      <c r="F340" s="2">
        <v>195</v>
      </c>
      <c r="G340" s="2">
        <v>3650</v>
      </c>
      <c r="H340" s="1" t="s">
        <v>12</v>
      </c>
      <c r="I340">
        <v>2009</v>
      </c>
      <c r="J340" s="1">
        <f>penglings[[#This Row],[bill_length_mm]]/2</f>
        <v>22.85</v>
      </c>
    </row>
    <row r="341" spans="1:10" x14ac:dyDescent="0.3">
      <c r="A341">
        <v>340</v>
      </c>
      <c r="B341" s="1" t="s">
        <v>17</v>
      </c>
      <c r="C341" s="1" t="s">
        <v>15</v>
      </c>
      <c r="D341" s="2">
        <v>55.8</v>
      </c>
      <c r="E341" s="2">
        <v>19.8</v>
      </c>
      <c r="F341" s="2">
        <v>207</v>
      </c>
      <c r="G341" s="2">
        <v>4000</v>
      </c>
      <c r="H341" s="1" t="s">
        <v>11</v>
      </c>
      <c r="I341">
        <v>2009</v>
      </c>
      <c r="J341" s="1">
        <f>penglings[[#This Row],[bill_length_mm]]/2</f>
        <v>27.9</v>
      </c>
    </row>
    <row r="342" spans="1:10" x14ac:dyDescent="0.3">
      <c r="A342">
        <v>341</v>
      </c>
      <c r="B342" s="1" t="s">
        <v>17</v>
      </c>
      <c r="C342" s="1" t="s">
        <v>15</v>
      </c>
      <c r="D342" s="2">
        <v>43.5</v>
      </c>
      <c r="E342" s="2">
        <v>18.100000000000001</v>
      </c>
      <c r="F342" s="2">
        <v>202</v>
      </c>
      <c r="G342" s="2">
        <v>3400</v>
      </c>
      <c r="H342" s="1" t="s">
        <v>12</v>
      </c>
      <c r="I342">
        <v>2009</v>
      </c>
      <c r="J342" s="1">
        <f>penglings[[#This Row],[bill_length_mm]]/2</f>
        <v>21.75</v>
      </c>
    </row>
    <row r="343" spans="1:10" x14ac:dyDescent="0.3">
      <c r="A343">
        <v>342</v>
      </c>
      <c r="B343" s="1" t="s">
        <v>17</v>
      </c>
      <c r="C343" s="1" t="s">
        <v>15</v>
      </c>
      <c r="D343" s="2">
        <v>49.6</v>
      </c>
      <c r="E343" s="2">
        <v>18.2</v>
      </c>
      <c r="F343" s="2">
        <v>193</v>
      </c>
      <c r="G343" s="2">
        <v>3775</v>
      </c>
      <c r="H343" s="1" t="s">
        <v>11</v>
      </c>
      <c r="I343">
        <v>2009</v>
      </c>
      <c r="J343" s="1">
        <f>penglings[[#This Row],[bill_length_mm]]/2</f>
        <v>24.8</v>
      </c>
    </row>
    <row r="344" spans="1:10" x14ac:dyDescent="0.3">
      <c r="A344">
        <v>343</v>
      </c>
      <c r="B344" s="1" t="s">
        <v>17</v>
      </c>
      <c r="C344" s="1" t="s">
        <v>15</v>
      </c>
      <c r="D344" s="2">
        <v>50.8</v>
      </c>
      <c r="E344" s="2">
        <v>19</v>
      </c>
      <c r="F344" s="2">
        <v>210</v>
      </c>
      <c r="G344" s="2">
        <v>4100</v>
      </c>
      <c r="H344" s="1" t="s">
        <v>11</v>
      </c>
      <c r="I344">
        <v>2009</v>
      </c>
      <c r="J344" s="1">
        <f>penglings[[#This Row],[bill_length_mm]]/2</f>
        <v>25.4</v>
      </c>
    </row>
    <row r="345" spans="1:10" x14ac:dyDescent="0.3">
      <c r="A345">
        <v>344</v>
      </c>
      <c r="B345" s="1" t="s">
        <v>17</v>
      </c>
      <c r="C345" s="1" t="s">
        <v>15</v>
      </c>
      <c r="D345" s="2">
        <v>50.2</v>
      </c>
      <c r="E345" s="2">
        <v>18.7</v>
      </c>
      <c r="F345" s="2">
        <v>198</v>
      </c>
      <c r="G345" s="2">
        <v>3775</v>
      </c>
      <c r="H345" s="1" t="s">
        <v>12</v>
      </c>
      <c r="I345">
        <v>2009</v>
      </c>
      <c r="J345" s="1">
        <f>penglings[[#This Row],[bill_length_mm]]/2</f>
        <v>25.1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14BB30-E97E-495D-9904-25965679C6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penglings</vt:lpstr>
      <vt:lpstr>Chart3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Dooley</dc:creator>
  <cp:lastModifiedBy>Dooley, Skyler</cp:lastModifiedBy>
  <cp:lastPrinted>2026-01-30T21:44:06Z</cp:lastPrinted>
  <dcterms:created xsi:type="dcterms:W3CDTF">2015-06-05T18:17:20Z</dcterms:created>
  <dcterms:modified xsi:type="dcterms:W3CDTF">2026-01-30T21:49:29Z</dcterms:modified>
</cp:coreProperties>
</file>